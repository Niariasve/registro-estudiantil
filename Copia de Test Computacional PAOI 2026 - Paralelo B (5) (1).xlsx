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lista_jornada_anio_paralelo" sheetId="1" r:id="rId5"/>
    <sheet state="visible" name="Notas primera evaluación" sheetId="2" r:id="rId6"/>
    <sheet state="visible" name="Notas evaluación final" sheetId="3" r:id="rId7"/>
  </sheets>
  <definedNames/>
  <calcPr/>
</workbook>
</file>

<file path=xl/sharedStrings.xml><?xml version="1.0" encoding="utf-8"?>
<sst xmlns="http://schemas.openxmlformats.org/spreadsheetml/2006/main" count="1418" uniqueCount="127">
  <si>
    <t>C</t>
  </si>
  <si>
    <t>B</t>
  </si>
  <si>
    <t>A</t>
  </si>
  <si>
    <t>PREGUNTAS</t>
  </si>
  <si>
    <t>NOMBRES COMPLETOS</t>
  </si>
  <si>
    <t>P1</t>
  </si>
  <si>
    <t>P2</t>
  </si>
  <si>
    <t>P3</t>
  </si>
  <si>
    <t>UNIDAD EDUCATIVA ENRIQUE LOPEZ LASCANO - 09H04773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</si>
  <si>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</si>
  <si>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</si>
  <si>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</si>
  <si>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</si>
  <si>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</si>
  <si>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</si>
  <si>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</si>
  <si>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</si>
  <si>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</si>
  <si>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</si>
  <si>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r>
      <rPr>
        <rFont val="SansSerif"/>
        <color rgb="FF000000"/>
        <sz val="5.0"/>
      </rPr>
      <t>2025 - 2026</t>
    </r>
  </si>
  <si>
    <t>P14</t>
  </si>
  <si>
    <t>TOTAL</t>
  </si>
  <si>
    <t>BAJAÑA BAJAÑA KRISTEL ALEXA</t>
  </si>
  <si>
    <r>
      <rPr>
        <rFont val="SansSerif"/>
        <color rgb="FF000000"/>
        <sz val="5.0"/>
      </rPr>
      <t>B</t>
    </r>
  </si>
  <si>
    <t>No.</t>
  </si>
  <si>
    <t>CÉDULA</t>
  </si>
  <si>
    <t>NR</t>
  </si>
  <si>
    <t>NO</t>
  </si>
  <si>
    <t>SI</t>
  </si>
  <si>
    <t>MM</t>
  </si>
  <si>
    <t>-</t>
  </si>
  <si>
    <t>CUENTA</t>
  </si>
  <si>
    <t>D</t>
  </si>
  <si>
    <t>babakral11688368@estudiantes3.edu.ec</t>
  </si>
  <si>
    <t>BAJAÑA PLUAS HELEN PATRICIA</t>
  </si>
  <si>
    <t>baplhepa10645680@estudiantes3.edu.ec</t>
  </si>
  <si>
    <t>BALON FAJARDO SCARLETT VALENTINA</t>
  </si>
  <si>
    <t>bafascva12463217@estudiantes3.edu.ec</t>
  </si>
  <si>
    <t>BRIONES JOCONA AUSTIN JUNIOR</t>
  </si>
  <si>
    <t>brjoauju10700303@estudiantes3.edu.ec</t>
  </si>
  <si>
    <t>BRIONES SEGURA DYLAN SNEIDER</t>
  </si>
  <si>
    <t>brsedysn10694905@estudiantes3.edu.ec</t>
  </si>
  <si>
    <t>CABRERA BRIONES BRIANNA ASLEY</t>
  </si>
  <si>
    <t>cabrbras10709205@estudiantes3.edu.ec</t>
  </si>
  <si>
    <t>CALDERON ALVARADO ANGEL MAURICIO</t>
  </si>
  <si>
    <t>caalanma11629807@estudiantes3.edu.ec</t>
  </si>
  <si>
    <t>CASTRO BAJAÑA IKER ALEJANDRO</t>
  </si>
  <si>
    <t>total</t>
  </si>
  <si>
    <t>cabaikal10708176@estudiantes3.edu.ec</t>
  </si>
  <si>
    <t>CASTRO SALMON DEREK</t>
  </si>
  <si>
    <t>casade13172680@estudiantes3.edu.ec</t>
  </si>
  <si>
    <t>CEDEÑO DESIDERIO JOSHUA DIDIER</t>
  </si>
  <si>
    <t>cedejodi11810360@estudiantes3.edu.ec</t>
  </si>
  <si>
    <t>CHIRIGUAYA TORRES MAYTE YENEXY</t>
  </si>
  <si>
    <t>chtomaye10746077@estudiantes3.edu.ec</t>
  </si>
  <si>
    <t>DESIDERIO RUIZ MANUEL ALEJANDRO</t>
  </si>
  <si>
    <t>derumaal10726803@estudiantes3.edu.ec</t>
  </si>
  <si>
    <t>calificados</t>
  </si>
  <si>
    <t>con nota</t>
  </si>
  <si>
    <t>ESPINOZA JIMENEZ ELIANA ANAISHA</t>
  </si>
  <si>
    <t>esjielan11799465@estudiantes3.edu.ec</t>
  </si>
  <si>
    <t>FLORES BURGOS HEIDY SAMARA</t>
  </si>
  <si>
    <t>flbuhesa12286920@estudiantes3.edu.ec</t>
  </si>
  <si>
    <t>GUERRERO JIMENEZ KAROL JULIETTE</t>
  </si>
  <si>
    <t>gujikaju11633572@estudiantes3.edu.ec</t>
  </si>
  <si>
    <t>MORA SANTOS JOSHUA ALEJANDRO</t>
  </si>
  <si>
    <t>mosajoal11630945@estudiantes3.edu.ec</t>
  </si>
  <si>
    <t>MOTA AGUIRRE BRIANNA AITANA</t>
  </si>
  <si>
    <t>moagbrai13179179@estudiantes3.edu.ec</t>
  </si>
  <si>
    <t>OLMEDO FAJARDO SNAYDER MIGUEL</t>
  </si>
  <si>
    <t>olfasnmi10872845@estudiantes3.edu.ec</t>
  </si>
  <si>
    <t>E</t>
  </si>
  <si>
    <t>OLVERA ZAMBRANO JESUS DANIEL</t>
  </si>
  <si>
    <t>olzajeda11939071@estudiantes3.edu.ec</t>
  </si>
  <si>
    <t>OROZCO MONTOYA ELENA YULIETTE</t>
  </si>
  <si>
    <t>ormoelyu10756027@estudiantes3.edu.ec</t>
  </si>
  <si>
    <t>OROZCO SILVA JAYNER ADRIANO</t>
  </si>
  <si>
    <t>orsijaad11630346@estudiantes3.edu.ec</t>
  </si>
  <si>
    <t>ORTEGA BRIONES TAYRON JEAMPOL</t>
  </si>
  <si>
    <t>orbrtaje11638222@estudiantes3.edu.ec</t>
  </si>
  <si>
    <t>PARRAGA CALDERON CARLOS FABIAN</t>
  </si>
  <si>
    <t>pacacafa10668459@estudiantes3.edu.ec</t>
  </si>
  <si>
    <t>NS</t>
  </si>
  <si>
    <t>PARREÑO MENCIAS ABRAHAM EZEQUIEL</t>
  </si>
  <si>
    <t>pameabez11558977@estudiantes3.edu.ec</t>
  </si>
  <si>
    <t>PIZA VALERIA</t>
  </si>
  <si>
    <t>QUIJIJE JIMENEZ AIDAN VICENTE</t>
  </si>
  <si>
    <t>qujiaivi10763670@estudiantes3.edu.ec</t>
  </si>
  <si>
    <t>QUINTANA PLUAS MATEO GABRIEL</t>
  </si>
  <si>
    <t>quplmaga11565363@estudiantes3.edu.ec</t>
  </si>
  <si>
    <t>REYES ANCHUNDIA AITANNA ELIZABETH</t>
  </si>
  <si>
    <t>reanaiel11018172@estudiantes3.edu.ec</t>
  </si>
  <si>
    <t>RODRIGUEZ POSLIGUA EVELIN KATHERINE</t>
  </si>
  <si>
    <t>ropoevka11145672@estudiantes3.edu.ec</t>
  </si>
  <si>
    <t>RODRIGUEZ RUGEL AINARA BELEN</t>
  </si>
  <si>
    <t>RODRIGUEZ RUGEL DEBANHY YARENI</t>
  </si>
  <si>
    <t>rorudeya10713182@estudiantes3.edu.ec</t>
  </si>
  <si>
    <t>OJO, no consta en las evaluaciones entregadas</t>
  </si>
  <si>
    <t>RUGEL CALDERON IKER EMANUEL</t>
  </si>
  <si>
    <t>rucaikem11826993@estudiantes3.edu.ec</t>
  </si>
  <si>
    <t>RUGEL HERNANDEZ JUAN ALEXANDER</t>
  </si>
  <si>
    <t>ruhejual12339593@estudiantes3.edu.ec</t>
  </si>
  <si>
    <t>RUGEL VILLEGAS TIFFANY ZULEYKA</t>
  </si>
  <si>
    <t>ruvitizu11630228@estudiantes3.edu.ec</t>
  </si>
  <si>
    <t>SALAZAR ALMEIDA AXEL MATHIAS</t>
  </si>
  <si>
    <t>saalaxma11637921@estudiantes3.edu.ec</t>
  </si>
  <si>
    <t>SEGURA CARPIO BLANCA LEILANY</t>
  </si>
  <si>
    <t>secablle11630551@estudiantes3.edu.ec</t>
  </si>
  <si>
    <t>SEGURA SANCHEZ SNEYDER SAMIR</t>
  </si>
  <si>
    <t>sesasnsa10697767@estudiantes3.edu.ec</t>
  </si>
  <si>
    <t>TORRES PALMA MILLER NATHANAEL</t>
  </si>
  <si>
    <t>topamina10858966@estudiantes3.edu.ec</t>
  </si>
  <si>
    <t>E003572979</t>
  </si>
  <si>
    <t>VALDEZ GANCHOZO DAKEYSHA DYVANNA</t>
  </si>
  <si>
    <t>vagadady12435691@estudiantes3.edu.ec</t>
  </si>
  <si>
    <t>VILLAMAR TORRES JOEL MAXIMILIANO</t>
  </si>
  <si>
    <t>vitojoma10654974@estudiantes3.edu.ec</t>
  </si>
  <si>
    <t>ZAMBRANO ALCIVAR SNAYDER JAIR</t>
  </si>
  <si>
    <t>zaalsnja12429380@estudiantes3.edu.ec</t>
  </si>
  <si>
    <t>ZAMBRANO VILLAMAR ABNER STEVEN</t>
  </si>
  <si>
    <t>zaviabst11795184@estudiantes3.edu.ec</t>
  </si>
  <si>
    <t>Transformar la educación, misión de</t>
  </si>
  <si>
    <t>TODOS</t>
  </si>
  <si>
    <r>
      <rPr>
        <rFont val="SansSerif"/>
        <color rgb="FF000000"/>
        <sz val="5.0"/>
      </rPr>
      <t xml:space="preserve"> 1</t>
    </r>
  </si>
  <si>
    <t>M</t>
  </si>
  <si>
    <t>OJO, no consta en los exámenes entregados</t>
  </si>
  <si>
    <t xml:space="preserve">PROMEDIO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</si>
</sst>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SansSerif"/>
    </font>
    <font/>
    <font>
      <sz val="5.0"/>
      <color rgb="FF000000"/>
      <name val="Arial"/>
    </font>
    <font>
      <sz val="5.0"/>
      <color rgb="FF000000"/>
      <name val="SansSerif"/>
    </font>
    <font>
      <b/>
      <sz val="8.0"/>
      <color rgb="FF000000"/>
      <name val="SansSerif"/>
    </font>
    <font>
      <b/>
      <sz val="5.0"/>
      <color rgb="FFFFFFFF"/>
      <name val="SansSerif"/>
    </font>
    <font>
      <b/>
      <sz val="11.0"/>
      <color theme="1"/>
      <name val="Calibri"/>
    </font>
    <font>
      <color theme="1"/>
      <name val="Calibri"/>
      <scheme val="minor"/>
    </font>
    <font>
      <b/>
      <sz val="5.0"/>
      <color rgb="FF000000"/>
      <name val="SansSerif"/>
    </font>
    <font>
      <b/>
      <sz val="8.0"/>
      <color rgb="FF000000"/>
      <name val="Arial"/>
    </font>
    <font>
      <b/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699FF"/>
        <bgColor rgb="FF6699FF"/>
      </patternFill>
    </fill>
    <fill>
      <patternFill patternType="solid">
        <fgColor rgb="FFFFFFFF"/>
        <bgColor rgb="FFFFFFFF"/>
      </patternFill>
    </fill>
    <fill>
      <patternFill patternType="solid">
        <fgColor rgb="FFECEBEB"/>
        <bgColor rgb="FFECEBE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2A1C7"/>
        <bgColor rgb="FFB2A1C7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0" fillId="0" fontId="1" numFmtId="0" xfId="0" applyAlignment="1" applyFont="1">
      <alignment shrinkToFit="0" wrapText="1"/>
    </xf>
    <xf borderId="3" fillId="0" fontId="3" numFmtId="0" xfId="0" applyBorder="1" applyFont="1"/>
    <xf borderId="0" fillId="0" fontId="1" numFmtId="0" xfId="0" applyAlignment="1" applyFont="1">
      <alignment horizontal="left" shrinkToFit="0" vertical="top" wrapText="1"/>
    </xf>
    <xf borderId="4" fillId="2" fontId="2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5" fillId="2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vertical="center"/>
    </xf>
    <xf borderId="6" fillId="2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8" fillId="2" fontId="7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8" fillId="2" fontId="7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left" readingOrder="0" shrinkToFit="0" vertical="center" wrapText="1"/>
    </xf>
    <xf borderId="7" fillId="3" fontId="5" numFmtId="0" xfId="0" applyAlignment="1" applyBorder="1" applyFill="1" applyFont="1">
      <alignment horizontal="left" readingOrder="0" shrinkToFit="0" vertical="center" wrapText="1"/>
    </xf>
    <xf borderId="7" fillId="3" fontId="5" numFmtId="0" xfId="0" applyAlignment="1" applyBorder="1" applyFill="1" applyFont="1">
      <alignment horizontal="left" shrinkToFit="0" vertical="center" wrapText="1"/>
    </xf>
    <xf borderId="8" fillId="3" fontId="5" numFmtId="0" xfId="0" applyAlignment="1" applyBorder="1" applyFill="1" applyFont="1">
      <alignment horizontal="left" shrinkToFit="0" vertical="center" wrapText="1"/>
    </xf>
    <xf borderId="6" fillId="4" fontId="5" numFmtId="0" xfId="0" applyAlignment="1" applyBorder="1" applyFill="1" applyFont="1">
      <alignment horizontal="left" readingOrder="0" shrinkToFit="0" vertical="center" wrapText="1"/>
    </xf>
    <xf borderId="7" fillId="4" fontId="5" numFmtId="0" xfId="0" applyAlignment="1" applyBorder="1" applyFill="1" applyFont="1">
      <alignment horizontal="left" readingOrder="0" shrinkToFit="0" vertical="center" wrapText="1"/>
    </xf>
    <xf borderId="7" fillId="4" fontId="5" numFmtId="0" xfId="0" applyAlignment="1" applyBorder="1" applyFill="1" applyFont="1">
      <alignment horizontal="left" shrinkToFit="0" vertical="center" wrapText="1"/>
    </xf>
    <xf borderId="8" fillId="4" fontId="5" numFmtId="0" xfId="0" applyAlignment="1" applyBorder="1" applyFill="1" applyFont="1">
      <alignment horizontal="left" shrinkToFit="0" vertical="center" wrapText="1"/>
    </xf>
    <xf borderId="4" fillId="0" fontId="1" numFmtId="0" xfId="0" applyBorder="1" applyFont="1"/>
    <xf borderId="0" fillId="5" fontId="9" numFmtId="0" xfId="0" applyFill="1" applyFont="1"/>
    <xf borderId="0" fillId="0" fontId="9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1" fillId="4" fontId="6" numFmtId="0" xfId="0" applyAlignment="1" applyBorder="1" applyFill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0" fillId="0" fontId="8" numFmtId="0" xfId="0" applyFont="1"/>
    <xf borderId="8" fillId="4" fontId="5" numFmtId="0" xfId="0" applyAlignment="1" applyBorder="1" applyFill="1" applyFont="1">
      <alignment horizontal="left" readingOrder="0" shrinkToFit="0" vertical="center" wrapText="1"/>
    </xf>
    <xf borderId="0" fillId="6" fontId="1" numFmtId="0" xfId="0" applyAlignment="1" applyFill="1" applyFont="1">
      <alignment shrinkToFit="0" wrapText="1"/>
    </xf>
    <xf borderId="0" fillId="0" fontId="5" numFmtId="0" xfId="0" applyAlignment="1" applyFont="1">
      <alignment horizontal="right" readingOrder="0" shrinkToFit="0" wrapText="1"/>
    </xf>
    <xf borderId="0" fillId="0" fontId="10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4" fillId="0" fontId="8" numFmtId="0" xfId="0" applyAlignment="1" applyBorder="1" applyFont="1">
      <alignment horizontal="center" vertical="center"/>
    </xf>
    <xf borderId="1" fillId="4" fontId="11" numFmtId="0" xfId="0" applyAlignment="1" applyBorder="1" applyFill="1" applyFont="1">
      <alignment horizontal="left" readingOrder="0" shrinkToFit="0" vertical="center" wrapText="1"/>
    </xf>
    <xf borderId="0" fillId="6" fontId="9" numFmtId="0" xfId="0" applyFill="1" applyFont="1"/>
    <xf borderId="4" fillId="6" fontId="8" numFmtId="0" xfId="0" applyAlignment="1" applyBorder="1" applyFill="1" applyFont="1">
      <alignment horizontal="center" readingOrder="0" vertical="center"/>
    </xf>
    <xf borderId="4" fillId="7" fontId="12" numFmtId="0" xfId="0" applyAlignment="1" applyBorder="1" applyFill="1" applyFont="1">
      <alignment vertical="center"/>
    </xf>
    <xf borderId="4" fillId="7" fontId="1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0</xdr:rowOff>
    </xdr:from>
    <xdr:ext cx="110490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57"/>
    <col customWidth="1" min="4" max="4" width="0.29"/>
    <col customWidth="1" min="5" max="5" width="7.14"/>
    <col customWidth="1" min="6" max="6" width="7.71"/>
    <col customWidth="1" min="7" max="7" width="12.57"/>
    <col customWidth="1" min="8" max="8" width="15.71"/>
    <col customWidth="1" min="9" max="9" width="24.43"/>
    <col customWidth="1" min="10" max="10" width="3.71"/>
    <col customWidth="1" min="11" max="11" width="3.29"/>
    <col customWidth="1" min="12" max="12" width="9.29"/>
    <col customWidth="1" min="13" max="13" width="0.14"/>
    <col customWidth="1" min="14" max="14" width="0.43"/>
    <col customWidth="1" min="15" max="15" width="3.0"/>
    <col customWidth="1" min="16" max="16" width="3.71"/>
    <col customWidth="1" min="17" max="17" width="42.0"/>
    <col customWidth="1" min="18" max="26" width="8.71"/>
  </cols>
  <sheetData>
    <row r="1" ht="49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Q1" s="4"/>
    </row>
    <row r="2" ht="10.5" customHeight="1">
      <c r="A2" s="4"/>
      <c r="B2" s="4"/>
      <c r="C2" s="4"/>
      <c r="D2" s="4"/>
      <c r="E2" s="4"/>
      <c r="F2" s="4"/>
      <c r="G2" s="8" t="s">
        <v>8</v>
      </c>
      <c r="M2" s="4"/>
      <c r="N2" s="4"/>
      <c r="O2" s="4"/>
      <c r="P2" s="4"/>
      <c r="Q2" s="4"/>
    </row>
    <row r="3" ht="10.5" customHeight="1">
      <c r="A3" s="4"/>
      <c r="B3" s="4"/>
      <c r="C3" s="4"/>
      <c r="D3" s="4"/>
      <c r="E3" s="4"/>
      <c r="F3" s="4"/>
      <c r="G3" s="9" t="s">
        <v>19</v>
      </c>
      <c r="M3" s="4"/>
      <c r="N3" s="4"/>
      <c r="O3" s="4"/>
      <c r="P3" s="4"/>
      <c r="Q3" s="4"/>
    </row>
    <row r="4" ht="10.5" customHeight="1">
      <c r="A4" s="4"/>
      <c r="B4" s="4"/>
      <c r="C4" s="4"/>
      <c r="D4" s="4"/>
      <c r="E4" s="4"/>
      <c r="F4" s="4"/>
      <c r="G4" s="9" t="s">
        <v>23</v>
      </c>
      <c r="M4" s="4"/>
      <c r="N4" s="4"/>
      <c r="O4" s="4"/>
      <c r="P4" s="4"/>
      <c r="Q4" s="4"/>
    </row>
    <row r="5" ht="9.75" customHeight="1">
      <c r="A5" s="4"/>
      <c r="B5" s="11" t="s">
        <v>24</v>
      </c>
      <c r="C5" s="12" t="s">
        <v>25</v>
      </c>
      <c r="D5" s="14"/>
      <c r="E5" s="15" t="s">
        <v>4</v>
      </c>
      <c r="F5" s="17"/>
      <c r="G5" s="17"/>
      <c r="H5" s="18"/>
      <c r="I5" s="19" t="s">
        <v>31</v>
      </c>
      <c r="J5" s="14"/>
      <c r="K5" s="20"/>
      <c r="L5" s="20"/>
      <c r="M5" s="20"/>
      <c r="N5" s="20"/>
      <c r="O5" s="21"/>
      <c r="P5" s="4"/>
      <c r="Q5" s="4"/>
    </row>
    <row r="6" ht="12.75" customHeight="1">
      <c r="A6" s="4"/>
      <c r="B6" s="11">
        <v>1.0</v>
      </c>
      <c r="C6" s="22">
        <v>9.60653525E8</v>
      </c>
      <c r="D6" s="18"/>
      <c r="E6" s="23" t="s">
        <v>22</v>
      </c>
      <c r="F6" s="17"/>
      <c r="G6" s="17"/>
      <c r="H6" s="18"/>
      <c r="I6" s="23" t="s">
        <v>33</v>
      </c>
      <c r="J6" s="17"/>
      <c r="K6" s="17"/>
      <c r="L6" s="18"/>
      <c r="M6" s="24"/>
      <c r="N6" s="24"/>
      <c r="O6" s="25"/>
      <c r="P6" s="4"/>
      <c r="Q6" s="4"/>
    </row>
    <row r="7" ht="12.75" customHeight="1">
      <c r="A7" s="4"/>
      <c r="B7" s="11">
        <v>2.0</v>
      </c>
      <c r="C7" s="26">
        <v>9.60227767E8</v>
      </c>
      <c r="D7" s="18"/>
      <c r="E7" s="27" t="s">
        <v>34</v>
      </c>
      <c r="F7" s="17"/>
      <c r="G7" s="17"/>
      <c r="H7" s="18"/>
      <c r="I7" s="27" t="s">
        <v>35</v>
      </c>
      <c r="J7" s="17"/>
      <c r="K7" s="17"/>
      <c r="L7" s="18"/>
      <c r="M7" s="28"/>
      <c r="N7" s="28"/>
      <c r="O7" s="29"/>
      <c r="P7" s="4"/>
      <c r="Q7" s="4"/>
    </row>
    <row r="8" ht="12.75" customHeight="1">
      <c r="A8" s="4"/>
      <c r="B8" s="11">
        <v>3.0</v>
      </c>
      <c r="C8" s="22">
        <v>9.61132503E8</v>
      </c>
      <c r="D8" s="18"/>
      <c r="E8" s="23" t="s">
        <v>36</v>
      </c>
      <c r="F8" s="17"/>
      <c r="G8" s="17"/>
      <c r="H8" s="18"/>
      <c r="I8" s="23" t="s">
        <v>37</v>
      </c>
      <c r="J8" s="17"/>
      <c r="K8" s="17"/>
      <c r="L8" s="18"/>
      <c r="M8" s="24"/>
      <c r="N8" s="24"/>
      <c r="O8" s="25"/>
      <c r="P8" s="4"/>
      <c r="Q8" s="4"/>
    </row>
    <row r="9" ht="12.75" customHeight="1">
      <c r="A9" s="4"/>
      <c r="B9" s="11">
        <v>4.0</v>
      </c>
      <c r="C9" s="26">
        <v>9.60551612E8</v>
      </c>
      <c r="D9" s="18"/>
      <c r="E9" s="27" t="s">
        <v>38</v>
      </c>
      <c r="F9" s="17"/>
      <c r="G9" s="17"/>
      <c r="H9" s="18"/>
      <c r="I9" s="27" t="s">
        <v>39</v>
      </c>
      <c r="J9" s="17"/>
      <c r="K9" s="17"/>
      <c r="L9" s="18"/>
      <c r="M9" s="28"/>
      <c r="N9" s="28"/>
      <c r="O9" s="29"/>
      <c r="P9" s="4"/>
      <c r="Q9" s="4"/>
    </row>
    <row r="10" ht="12.75" customHeight="1">
      <c r="A10" s="4"/>
      <c r="B10" s="11">
        <v>5.0</v>
      </c>
      <c r="C10" s="22">
        <v>9.60277184E8</v>
      </c>
      <c r="D10" s="18"/>
      <c r="E10" s="23" t="s">
        <v>40</v>
      </c>
      <c r="F10" s="17"/>
      <c r="G10" s="17"/>
      <c r="H10" s="18"/>
      <c r="I10" s="23" t="s">
        <v>41</v>
      </c>
      <c r="J10" s="17"/>
      <c r="K10" s="17"/>
      <c r="L10" s="18"/>
      <c r="M10" s="24"/>
      <c r="N10" s="24"/>
      <c r="O10" s="25"/>
      <c r="P10" s="4"/>
      <c r="Q10" s="4"/>
    </row>
    <row r="11" ht="12.75" customHeight="1">
      <c r="A11" s="4"/>
      <c r="B11" s="11">
        <v>6.0</v>
      </c>
      <c r="C11" s="26">
        <v>9.60447167E8</v>
      </c>
      <c r="D11" s="18"/>
      <c r="E11" s="27" t="s">
        <v>42</v>
      </c>
      <c r="F11" s="17"/>
      <c r="G11" s="17"/>
      <c r="H11" s="18"/>
      <c r="I11" s="27" t="s">
        <v>43</v>
      </c>
      <c r="J11" s="17"/>
      <c r="K11" s="17"/>
      <c r="L11" s="18"/>
      <c r="M11" s="28"/>
      <c r="N11" s="28"/>
      <c r="O11" s="29"/>
      <c r="P11" s="4"/>
      <c r="Q11" s="4"/>
    </row>
    <row r="12" ht="12.75" customHeight="1">
      <c r="A12" s="4"/>
      <c r="B12" s="11">
        <v>7.0</v>
      </c>
      <c r="C12" s="22">
        <v>9.60916328E8</v>
      </c>
      <c r="D12" s="18"/>
      <c r="E12" s="23" t="s">
        <v>44</v>
      </c>
      <c r="F12" s="17"/>
      <c r="G12" s="17"/>
      <c r="H12" s="18"/>
      <c r="I12" s="23" t="s">
        <v>45</v>
      </c>
      <c r="J12" s="17"/>
      <c r="K12" s="17"/>
      <c r="L12" s="18"/>
      <c r="M12" s="24"/>
      <c r="N12" s="24"/>
      <c r="O12" s="25"/>
      <c r="P12" s="4"/>
      <c r="Q12" s="4"/>
    </row>
    <row r="13" ht="12.75" customHeight="1">
      <c r="A13" s="4"/>
      <c r="B13" s="11">
        <v>8.0</v>
      </c>
      <c r="C13" s="26">
        <v>9.60568954E8</v>
      </c>
      <c r="D13" s="18"/>
      <c r="E13" s="27" t="s">
        <v>46</v>
      </c>
      <c r="F13" s="17"/>
      <c r="G13" s="17"/>
      <c r="H13" s="18"/>
      <c r="I13" s="27" t="s">
        <v>48</v>
      </c>
      <c r="J13" s="17"/>
      <c r="K13" s="17"/>
      <c r="L13" s="18"/>
      <c r="M13" s="28"/>
      <c r="N13" s="28"/>
      <c r="O13" s="29"/>
      <c r="P13" s="4"/>
      <c r="Q13" s="4"/>
    </row>
    <row r="14" ht="12.75" customHeight="1">
      <c r="A14" s="4"/>
      <c r="B14" s="11">
        <v>9.0</v>
      </c>
      <c r="C14" s="22">
        <v>9.60729499E8</v>
      </c>
      <c r="D14" s="18"/>
      <c r="E14" s="23" t="s">
        <v>49</v>
      </c>
      <c r="F14" s="17"/>
      <c r="G14" s="17"/>
      <c r="H14" s="18"/>
      <c r="I14" s="23" t="s">
        <v>50</v>
      </c>
      <c r="J14" s="17"/>
      <c r="K14" s="17"/>
      <c r="L14" s="18"/>
      <c r="M14" s="24"/>
      <c r="N14" s="24"/>
      <c r="O14" s="25"/>
      <c r="P14" s="4"/>
      <c r="Q14" s="4"/>
    </row>
    <row r="15" ht="12.75" customHeight="1">
      <c r="A15" s="4"/>
      <c r="B15" s="11">
        <v>10.0</v>
      </c>
      <c r="C15" s="26">
        <v>9.60849057E8</v>
      </c>
      <c r="D15" s="18"/>
      <c r="E15" s="27" t="s">
        <v>51</v>
      </c>
      <c r="F15" s="17"/>
      <c r="G15" s="17"/>
      <c r="H15" s="18"/>
      <c r="I15" s="27" t="s">
        <v>52</v>
      </c>
      <c r="J15" s="17"/>
      <c r="K15" s="17"/>
      <c r="L15" s="18"/>
      <c r="M15" s="28"/>
      <c r="N15" s="28"/>
      <c r="O15" s="29"/>
      <c r="P15" s="4"/>
      <c r="Q15" s="4"/>
    </row>
    <row r="16" ht="12.75" customHeight="1">
      <c r="A16" s="4"/>
      <c r="B16" s="11">
        <v>11.0</v>
      </c>
      <c r="C16" s="22">
        <v>9.61093275E8</v>
      </c>
      <c r="D16" s="18"/>
      <c r="E16" s="23" t="s">
        <v>53</v>
      </c>
      <c r="F16" s="17"/>
      <c r="G16" s="17"/>
      <c r="H16" s="18"/>
      <c r="I16" s="23" t="s">
        <v>54</v>
      </c>
      <c r="J16" s="17"/>
      <c r="K16" s="17"/>
      <c r="L16" s="18"/>
      <c r="M16" s="24"/>
      <c r="N16" s="24"/>
      <c r="O16" s="25"/>
      <c r="P16" s="4"/>
      <c r="Q16" s="4"/>
    </row>
    <row r="17" ht="12.75" customHeight="1">
      <c r="A17" s="4"/>
      <c r="B17" s="11">
        <v>12.0</v>
      </c>
      <c r="C17" s="26">
        <v>9.60513323E8</v>
      </c>
      <c r="D17" s="18"/>
      <c r="E17" s="27" t="s">
        <v>55</v>
      </c>
      <c r="F17" s="17"/>
      <c r="G17" s="17"/>
      <c r="H17" s="18"/>
      <c r="I17" s="27" t="s">
        <v>56</v>
      </c>
      <c r="J17" s="17"/>
      <c r="K17" s="17"/>
      <c r="L17" s="18"/>
      <c r="M17" s="28"/>
      <c r="N17" s="28"/>
      <c r="O17" s="29"/>
      <c r="P17" s="4"/>
      <c r="Q17" s="4"/>
    </row>
    <row r="18" ht="12.75" customHeight="1">
      <c r="A18" s="4"/>
      <c r="B18" s="11">
        <v>13.0</v>
      </c>
      <c r="C18" s="22">
        <v>9.60967339E8</v>
      </c>
      <c r="D18" s="18"/>
      <c r="E18" s="23" t="s">
        <v>59</v>
      </c>
      <c r="F18" s="17"/>
      <c r="G18" s="17"/>
      <c r="H18" s="18"/>
      <c r="I18" s="23" t="s">
        <v>60</v>
      </c>
      <c r="J18" s="17"/>
      <c r="K18" s="17"/>
      <c r="L18" s="18"/>
      <c r="M18" s="24"/>
      <c r="N18" s="24"/>
      <c r="O18" s="25"/>
      <c r="P18" s="4"/>
      <c r="Q18" s="4"/>
    </row>
    <row r="19" ht="12.75" customHeight="1">
      <c r="A19" s="4"/>
      <c r="B19" s="11">
        <v>14.0</v>
      </c>
      <c r="C19" s="26">
        <v>9.60910834E8</v>
      </c>
      <c r="D19" s="18"/>
      <c r="E19" s="27" t="s">
        <v>61</v>
      </c>
      <c r="F19" s="17"/>
      <c r="G19" s="17"/>
      <c r="H19" s="18"/>
      <c r="I19" s="27" t="s">
        <v>62</v>
      </c>
      <c r="J19" s="17"/>
      <c r="K19" s="17"/>
      <c r="L19" s="18"/>
      <c r="M19" s="28"/>
      <c r="N19" s="28"/>
      <c r="O19" s="29"/>
      <c r="P19" s="4"/>
      <c r="Q19" s="4"/>
    </row>
    <row r="20" ht="12.75" customHeight="1">
      <c r="A20" s="4"/>
      <c r="B20" s="11">
        <v>15.0</v>
      </c>
      <c r="C20" s="22">
        <v>9.61013372E8</v>
      </c>
      <c r="D20" s="18"/>
      <c r="E20" s="23" t="s">
        <v>63</v>
      </c>
      <c r="F20" s="17"/>
      <c r="G20" s="17"/>
      <c r="H20" s="18"/>
      <c r="I20" s="23" t="s">
        <v>64</v>
      </c>
      <c r="J20" s="17"/>
      <c r="K20" s="17"/>
      <c r="L20" s="18"/>
      <c r="M20" s="24"/>
      <c r="N20" s="24"/>
      <c r="O20" s="25"/>
      <c r="P20" s="4"/>
      <c r="Q20" s="4"/>
    </row>
    <row r="21" ht="12.75" customHeight="1">
      <c r="A21" s="4"/>
      <c r="B21" s="11">
        <v>16.0</v>
      </c>
      <c r="C21" s="26">
        <v>9.607367E8</v>
      </c>
      <c r="D21" s="18"/>
      <c r="E21" s="27" t="s">
        <v>65</v>
      </c>
      <c r="F21" s="17"/>
      <c r="G21" s="17"/>
      <c r="H21" s="18"/>
      <c r="I21" s="27" t="s">
        <v>66</v>
      </c>
      <c r="J21" s="17"/>
      <c r="K21" s="17"/>
      <c r="L21" s="18"/>
      <c r="M21" s="28"/>
      <c r="N21" s="28"/>
      <c r="O21" s="29"/>
      <c r="P21" s="4"/>
      <c r="Q21" s="4"/>
    </row>
    <row r="22" ht="12.75" customHeight="1">
      <c r="A22" s="4"/>
      <c r="B22" s="11">
        <v>17.0</v>
      </c>
      <c r="C22" s="22">
        <v>9.60938421E8</v>
      </c>
      <c r="D22" s="18"/>
      <c r="E22" s="23" t="s">
        <v>67</v>
      </c>
      <c r="F22" s="17"/>
      <c r="G22" s="17"/>
      <c r="H22" s="18"/>
      <c r="I22" s="23" t="s">
        <v>68</v>
      </c>
      <c r="J22" s="17"/>
      <c r="K22" s="17"/>
      <c r="L22" s="18"/>
      <c r="M22" s="24"/>
      <c r="N22" s="24"/>
      <c r="O22" s="25"/>
      <c r="P22" s="4"/>
      <c r="Q22" s="4"/>
    </row>
    <row r="23" ht="12.75" customHeight="1">
      <c r="A23" s="4"/>
      <c r="B23" s="11">
        <v>18.0</v>
      </c>
      <c r="C23" s="26">
        <v>9.60152908E8</v>
      </c>
      <c r="D23" s="18"/>
      <c r="E23" s="27" t="s">
        <v>69</v>
      </c>
      <c r="F23" s="17"/>
      <c r="G23" s="17"/>
      <c r="H23" s="18"/>
      <c r="I23" s="27" t="s">
        <v>70</v>
      </c>
      <c r="J23" s="17"/>
      <c r="K23" s="17"/>
      <c r="L23" s="18"/>
      <c r="M23" s="28"/>
      <c r="N23" s="28"/>
      <c r="O23" s="29"/>
      <c r="P23" s="4"/>
      <c r="Q23" s="4"/>
    </row>
    <row r="24" ht="12.75" customHeight="1">
      <c r="A24" s="4"/>
      <c r="B24" s="11">
        <v>19.0</v>
      </c>
      <c r="C24" s="22">
        <v>9.60135929E8</v>
      </c>
      <c r="D24" s="18"/>
      <c r="E24" s="23" t="s">
        <v>72</v>
      </c>
      <c r="F24" s="17"/>
      <c r="G24" s="17"/>
      <c r="H24" s="18"/>
      <c r="I24" s="23" t="s">
        <v>73</v>
      </c>
      <c r="J24" s="17"/>
      <c r="K24" s="17"/>
      <c r="L24" s="18"/>
      <c r="M24" s="24"/>
      <c r="N24" s="24"/>
      <c r="O24" s="25"/>
      <c r="P24" s="4"/>
      <c r="Q24" s="4"/>
    </row>
    <row r="25" ht="12.75" customHeight="1">
      <c r="A25" s="4"/>
      <c r="B25" s="11">
        <v>20.0</v>
      </c>
      <c r="C25" s="26">
        <v>9.60371813E8</v>
      </c>
      <c r="D25" s="18"/>
      <c r="E25" s="27" t="s">
        <v>74</v>
      </c>
      <c r="F25" s="17"/>
      <c r="G25" s="17"/>
      <c r="H25" s="18"/>
      <c r="I25" s="27" t="s">
        <v>75</v>
      </c>
      <c r="J25" s="17"/>
      <c r="K25" s="17"/>
      <c r="L25" s="18"/>
      <c r="M25" s="28"/>
      <c r="N25" s="28"/>
      <c r="O25" s="29"/>
      <c r="P25" s="4"/>
      <c r="Q25" s="4"/>
    </row>
    <row r="26" ht="12.75" customHeight="1">
      <c r="A26" s="4"/>
      <c r="B26" s="11">
        <v>21.0</v>
      </c>
      <c r="C26" s="22">
        <v>9.60696128E8</v>
      </c>
      <c r="D26" s="18"/>
      <c r="E26" s="23" t="s">
        <v>76</v>
      </c>
      <c r="F26" s="17"/>
      <c r="G26" s="17"/>
      <c r="H26" s="18"/>
      <c r="I26" s="23" t="s">
        <v>77</v>
      </c>
      <c r="J26" s="17"/>
      <c r="K26" s="17"/>
      <c r="L26" s="18"/>
      <c r="M26" s="24"/>
      <c r="N26" s="24"/>
      <c r="O26" s="25"/>
      <c r="P26" s="4"/>
      <c r="Q26" s="4"/>
    </row>
    <row r="27" ht="12.75" customHeight="1">
      <c r="A27" s="4"/>
      <c r="B27" s="11">
        <v>22.0</v>
      </c>
      <c r="C27" s="26">
        <v>9.60852143E8</v>
      </c>
      <c r="D27" s="18"/>
      <c r="E27" s="27" t="s">
        <v>78</v>
      </c>
      <c r="F27" s="17"/>
      <c r="G27" s="17"/>
      <c r="H27" s="18"/>
      <c r="I27" s="27" t="s">
        <v>79</v>
      </c>
      <c r="J27" s="17"/>
      <c r="K27" s="17"/>
      <c r="L27" s="18"/>
      <c r="M27" s="28"/>
      <c r="N27" s="28"/>
      <c r="O27" s="29"/>
      <c r="P27" s="4"/>
      <c r="Q27" s="4"/>
    </row>
    <row r="28" ht="12.75" customHeight="1">
      <c r="A28" s="4"/>
      <c r="B28" s="11">
        <v>23.0</v>
      </c>
      <c r="C28" s="22">
        <v>9.60186179E8</v>
      </c>
      <c r="D28" s="18"/>
      <c r="E28" s="23" t="s">
        <v>80</v>
      </c>
      <c r="F28" s="17"/>
      <c r="G28" s="17"/>
      <c r="H28" s="18"/>
      <c r="I28" s="23" t="s">
        <v>81</v>
      </c>
      <c r="J28" s="17"/>
      <c r="K28" s="17"/>
      <c r="L28" s="18"/>
      <c r="M28" s="24"/>
      <c r="N28" s="24"/>
      <c r="O28" s="25"/>
      <c r="P28" s="4"/>
      <c r="Q28" s="4"/>
    </row>
    <row r="29" ht="12.75" customHeight="1">
      <c r="A29" s="4"/>
      <c r="B29" s="11">
        <v>24.0</v>
      </c>
      <c r="C29" s="26">
        <v>9.60284248E8</v>
      </c>
      <c r="D29" s="18"/>
      <c r="E29" s="27" t="s">
        <v>83</v>
      </c>
      <c r="F29" s="17"/>
      <c r="G29" s="17"/>
      <c r="H29" s="18"/>
      <c r="I29" s="27" t="s">
        <v>84</v>
      </c>
      <c r="J29" s="17"/>
      <c r="K29" s="17"/>
      <c r="L29" s="18"/>
      <c r="M29" s="28"/>
      <c r="N29" s="28"/>
      <c r="O29" s="29"/>
      <c r="P29" s="4"/>
      <c r="Q29" s="4"/>
    </row>
    <row r="30" ht="12.75" customHeight="1">
      <c r="A30" s="4"/>
      <c r="B30" s="11">
        <v>25.0</v>
      </c>
      <c r="C30" s="26"/>
      <c r="D30" s="18"/>
      <c r="E30" s="27" t="s">
        <v>85</v>
      </c>
      <c r="F30" s="17"/>
      <c r="G30" s="17"/>
      <c r="H30" s="18"/>
      <c r="I30" s="38"/>
      <c r="J30" s="38"/>
      <c r="K30" s="38"/>
      <c r="L30" s="38"/>
      <c r="M30" s="28"/>
      <c r="N30" s="28"/>
      <c r="O30" s="29"/>
      <c r="P30" s="4"/>
      <c r="Q30" s="4"/>
    </row>
    <row r="31" ht="12.75" customHeight="1">
      <c r="A31" s="4"/>
      <c r="B31" s="11">
        <v>26.0</v>
      </c>
      <c r="C31" s="22">
        <v>9.6031208E8</v>
      </c>
      <c r="D31" s="18"/>
      <c r="E31" s="23" t="s">
        <v>86</v>
      </c>
      <c r="F31" s="17"/>
      <c r="G31" s="17"/>
      <c r="H31" s="18"/>
      <c r="I31" s="23" t="s">
        <v>87</v>
      </c>
      <c r="J31" s="17"/>
      <c r="K31" s="17"/>
      <c r="L31" s="18"/>
      <c r="M31" s="24"/>
      <c r="N31" s="24"/>
      <c r="O31" s="25"/>
      <c r="P31" s="4"/>
      <c r="Q31" s="4"/>
    </row>
    <row r="32" ht="12.75" customHeight="1">
      <c r="A32" s="4"/>
      <c r="B32" s="11">
        <v>27.0</v>
      </c>
      <c r="C32" s="26">
        <v>9.60455509E8</v>
      </c>
      <c r="D32" s="18"/>
      <c r="E32" s="27" t="s">
        <v>88</v>
      </c>
      <c r="F32" s="17"/>
      <c r="G32" s="17"/>
      <c r="H32" s="18"/>
      <c r="I32" s="27" t="s">
        <v>89</v>
      </c>
      <c r="J32" s="17"/>
      <c r="K32" s="17"/>
      <c r="L32" s="18"/>
      <c r="M32" s="28"/>
      <c r="N32" s="28"/>
      <c r="O32" s="29"/>
      <c r="P32" s="4"/>
      <c r="Q32" s="4"/>
    </row>
    <row r="33" ht="12.75" customHeight="1">
      <c r="A33" s="4"/>
      <c r="B33" s="11">
        <v>28.0</v>
      </c>
      <c r="C33" s="22">
        <v>9.60591154E8</v>
      </c>
      <c r="D33" s="18"/>
      <c r="E33" s="23" t="s">
        <v>90</v>
      </c>
      <c r="F33" s="17"/>
      <c r="G33" s="17"/>
      <c r="H33" s="18"/>
      <c r="I33" s="23" t="s">
        <v>91</v>
      </c>
      <c r="J33" s="17"/>
      <c r="K33" s="17"/>
      <c r="L33" s="18"/>
      <c r="M33" s="24"/>
      <c r="N33" s="24"/>
      <c r="O33" s="25"/>
      <c r="P33" s="4"/>
      <c r="Q33" s="4"/>
    </row>
    <row r="34" ht="12.75" customHeight="1">
      <c r="A34" s="4"/>
      <c r="B34" s="11">
        <v>29.0</v>
      </c>
      <c r="C34" s="26">
        <v>9.60311231E8</v>
      </c>
      <c r="D34" s="18"/>
      <c r="E34" s="27" t="s">
        <v>92</v>
      </c>
      <c r="F34" s="17"/>
      <c r="G34" s="17"/>
      <c r="H34" s="18"/>
      <c r="I34" s="27" t="s">
        <v>93</v>
      </c>
      <c r="J34" s="17"/>
      <c r="K34" s="17"/>
      <c r="L34" s="18"/>
      <c r="M34" s="28"/>
      <c r="N34" s="28"/>
      <c r="O34" s="29"/>
      <c r="P34" s="4"/>
      <c r="Q34" s="4"/>
    </row>
    <row r="35" ht="12.75" customHeight="1">
      <c r="A35" s="4"/>
      <c r="B35" s="11">
        <v>30.0</v>
      </c>
      <c r="C35" s="26"/>
      <c r="D35" s="18"/>
      <c r="E35" s="27" t="s">
        <v>94</v>
      </c>
      <c r="F35" s="17"/>
      <c r="G35" s="17"/>
      <c r="H35" s="18"/>
      <c r="I35" s="38"/>
      <c r="J35" s="38"/>
      <c r="K35" s="38"/>
      <c r="L35" s="38"/>
      <c r="M35" s="28"/>
      <c r="N35" s="28"/>
      <c r="O35" s="29"/>
      <c r="P35" s="4"/>
      <c r="Q35" s="4"/>
    </row>
    <row r="36" ht="12.75" customHeight="1">
      <c r="A36" s="4"/>
      <c r="B36" s="11">
        <v>31.0</v>
      </c>
      <c r="C36" s="22">
        <v>9.60289213E8</v>
      </c>
      <c r="D36" s="18"/>
      <c r="E36" s="23" t="s">
        <v>95</v>
      </c>
      <c r="F36" s="17"/>
      <c r="G36" s="17"/>
      <c r="H36" s="18"/>
      <c r="I36" s="23" t="s">
        <v>96</v>
      </c>
      <c r="J36" s="17"/>
      <c r="K36" s="17"/>
      <c r="L36" s="18"/>
      <c r="M36" s="24"/>
      <c r="N36" s="24"/>
      <c r="O36" s="25"/>
      <c r="P36" s="39"/>
      <c r="Q36" s="11" t="s">
        <v>97</v>
      </c>
    </row>
    <row r="37" ht="12.75" customHeight="1">
      <c r="A37" s="4"/>
      <c r="B37" s="11">
        <v>32.0</v>
      </c>
      <c r="C37" s="26">
        <v>9.60558112E8</v>
      </c>
      <c r="D37" s="18"/>
      <c r="E37" s="27" t="s">
        <v>98</v>
      </c>
      <c r="F37" s="17"/>
      <c r="G37" s="17"/>
      <c r="H37" s="18"/>
      <c r="I37" s="27" t="s">
        <v>99</v>
      </c>
      <c r="J37" s="17"/>
      <c r="K37" s="17"/>
      <c r="L37" s="18"/>
      <c r="M37" s="28"/>
      <c r="N37" s="28"/>
      <c r="O37" s="29"/>
      <c r="P37" s="4"/>
      <c r="Q37" s="4"/>
    </row>
    <row r="38" ht="12.75" customHeight="1">
      <c r="A38" s="4"/>
      <c r="B38" s="11">
        <v>33.0</v>
      </c>
      <c r="C38" s="22">
        <v>9.6056454E8</v>
      </c>
      <c r="D38" s="18"/>
      <c r="E38" s="23" t="s">
        <v>100</v>
      </c>
      <c r="F38" s="17"/>
      <c r="G38" s="17"/>
      <c r="H38" s="18"/>
      <c r="I38" s="23" t="s">
        <v>101</v>
      </c>
      <c r="J38" s="17"/>
      <c r="K38" s="17"/>
      <c r="L38" s="18"/>
      <c r="M38" s="24"/>
      <c r="N38" s="24"/>
      <c r="O38" s="25"/>
      <c r="P38" s="4"/>
      <c r="Q38" s="4"/>
    </row>
    <row r="39" ht="12.75" customHeight="1">
      <c r="A39" s="4"/>
      <c r="B39" s="11">
        <v>34.0</v>
      </c>
      <c r="C39" s="26">
        <v>9.60972453E8</v>
      </c>
      <c r="D39" s="18"/>
      <c r="E39" s="27" t="s">
        <v>102</v>
      </c>
      <c r="F39" s="17"/>
      <c r="G39" s="17"/>
      <c r="H39" s="18"/>
      <c r="I39" s="27" t="s">
        <v>103</v>
      </c>
      <c r="J39" s="17"/>
      <c r="K39" s="17"/>
      <c r="L39" s="18"/>
      <c r="M39" s="28"/>
      <c r="N39" s="28"/>
      <c r="O39" s="29"/>
      <c r="P39" s="4"/>
      <c r="Q39" s="4"/>
    </row>
    <row r="40" ht="12.75" customHeight="1">
      <c r="A40" s="4"/>
      <c r="B40" s="11">
        <v>35.0</v>
      </c>
      <c r="C40" s="22">
        <v>9.61045457E8</v>
      </c>
      <c r="D40" s="18"/>
      <c r="E40" s="23" t="s">
        <v>104</v>
      </c>
      <c r="F40" s="17"/>
      <c r="G40" s="17"/>
      <c r="H40" s="18"/>
      <c r="I40" s="23" t="s">
        <v>105</v>
      </c>
      <c r="J40" s="17"/>
      <c r="K40" s="17"/>
      <c r="L40" s="18"/>
      <c r="M40" s="24"/>
      <c r="N40" s="24"/>
      <c r="O40" s="25"/>
      <c r="P40" s="4"/>
      <c r="Q40" s="4"/>
    </row>
    <row r="41" ht="12.75" customHeight="1">
      <c r="A41" s="4"/>
      <c r="B41" s="11">
        <v>36.0</v>
      </c>
      <c r="C41" s="26">
        <v>9.60721132E8</v>
      </c>
      <c r="D41" s="18"/>
      <c r="E41" s="27" t="s">
        <v>106</v>
      </c>
      <c r="F41" s="17"/>
      <c r="G41" s="17"/>
      <c r="H41" s="18"/>
      <c r="I41" s="27" t="s">
        <v>107</v>
      </c>
      <c r="J41" s="17"/>
      <c r="K41" s="17"/>
      <c r="L41" s="18"/>
      <c r="M41" s="28"/>
      <c r="N41" s="28"/>
      <c r="O41" s="29"/>
      <c r="P41" s="4"/>
      <c r="Q41" s="4"/>
    </row>
    <row r="42" ht="12.75" customHeight="1">
      <c r="A42" s="4"/>
      <c r="B42" s="11">
        <v>37.0</v>
      </c>
      <c r="C42" s="22">
        <v>9.60391324E8</v>
      </c>
      <c r="D42" s="18"/>
      <c r="E42" s="23" t="s">
        <v>108</v>
      </c>
      <c r="F42" s="17"/>
      <c r="G42" s="17"/>
      <c r="H42" s="18"/>
      <c r="I42" s="23" t="s">
        <v>109</v>
      </c>
      <c r="J42" s="17"/>
      <c r="K42" s="17"/>
      <c r="L42" s="18"/>
      <c r="M42" s="24"/>
      <c r="N42" s="24"/>
      <c r="O42" s="25"/>
      <c r="P42" s="4"/>
      <c r="Q42" s="4"/>
    </row>
    <row r="43" ht="12.75" customHeight="1">
      <c r="A43" s="4"/>
      <c r="B43" s="11">
        <v>38.0</v>
      </c>
      <c r="C43" s="26">
        <v>9.60538924E8</v>
      </c>
      <c r="D43" s="18"/>
      <c r="E43" s="27" t="s">
        <v>110</v>
      </c>
      <c r="F43" s="17"/>
      <c r="G43" s="17"/>
      <c r="H43" s="18"/>
      <c r="I43" s="27" t="s">
        <v>111</v>
      </c>
      <c r="J43" s="17"/>
      <c r="K43" s="17"/>
      <c r="L43" s="18"/>
      <c r="M43" s="28"/>
      <c r="N43" s="28"/>
      <c r="O43" s="29"/>
      <c r="P43" s="4"/>
      <c r="Q43" s="4"/>
    </row>
    <row r="44" ht="12.75" customHeight="1">
      <c r="A44" s="4"/>
      <c r="B44" s="11">
        <v>39.0</v>
      </c>
      <c r="C44" s="22" t="s">
        <v>112</v>
      </c>
      <c r="D44" s="18"/>
      <c r="E44" s="23" t="s">
        <v>113</v>
      </c>
      <c r="F44" s="17"/>
      <c r="G44" s="17"/>
      <c r="H44" s="18"/>
      <c r="I44" s="23" t="s">
        <v>114</v>
      </c>
      <c r="J44" s="17"/>
      <c r="K44" s="17"/>
      <c r="L44" s="18"/>
      <c r="M44" s="24"/>
      <c r="N44" s="24"/>
      <c r="O44" s="25"/>
      <c r="P44" s="4"/>
      <c r="Q44" s="4"/>
    </row>
    <row r="45" ht="12.75" customHeight="1">
      <c r="A45" s="4"/>
      <c r="B45" s="11">
        <v>40.0</v>
      </c>
      <c r="C45" s="26">
        <v>9.32788995E8</v>
      </c>
      <c r="D45" s="18"/>
      <c r="E45" s="27" t="s">
        <v>115</v>
      </c>
      <c r="F45" s="17"/>
      <c r="G45" s="17"/>
      <c r="H45" s="18"/>
      <c r="I45" s="27" t="s">
        <v>116</v>
      </c>
      <c r="J45" s="17"/>
      <c r="K45" s="17"/>
      <c r="L45" s="18"/>
      <c r="M45" s="28"/>
      <c r="N45" s="28"/>
      <c r="O45" s="29"/>
      <c r="P45" s="4"/>
      <c r="Q45" s="4"/>
    </row>
    <row r="46" ht="12.75" customHeight="1">
      <c r="A46" s="4"/>
      <c r="B46" s="11">
        <v>41.0</v>
      </c>
      <c r="C46" s="22">
        <v>9.60801181E8</v>
      </c>
      <c r="D46" s="18"/>
      <c r="E46" s="23" t="s">
        <v>117</v>
      </c>
      <c r="F46" s="17"/>
      <c r="G46" s="17"/>
      <c r="H46" s="18"/>
      <c r="I46" s="23" t="s">
        <v>118</v>
      </c>
      <c r="J46" s="17"/>
      <c r="K46" s="17"/>
      <c r="L46" s="18"/>
      <c r="M46" s="24"/>
      <c r="N46" s="24"/>
      <c r="O46" s="25"/>
      <c r="P46" s="4"/>
      <c r="Q46" s="4"/>
    </row>
    <row r="47" ht="12.75" customHeight="1">
      <c r="A47" s="4"/>
      <c r="B47" s="11">
        <v>42.0</v>
      </c>
      <c r="C47" s="26">
        <v>9.60672616E8</v>
      </c>
      <c r="D47" s="18"/>
      <c r="E47" s="27" t="s">
        <v>119</v>
      </c>
      <c r="F47" s="17"/>
      <c r="G47" s="17"/>
      <c r="H47" s="18"/>
      <c r="I47" s="27" t="s">
        <v>120</v>
      </c>
      <c r="J47" s="17"/>
      <c r="K47" s="17"/>
      <c r="L47" s="18"/>
      <c r="M47" s="28"/>
      <c r="N47" s="28"/>
      <c r="O47" s="29"/>
      <c r="P47" s="4"/>
      <c r="Q47" s="4"/>
    </row>
    <row r="48" ht="9.75" customHeight="1">
      <c r="A48" s="4"/>
      <c r="B48" s="11"/>
      <c r="C48" s="4"/>
      <c r="D48" s="11" t="s">
        <v>121</v>
      </c>
      <c r="H48" s="40" t="s">
        <v>122</v>
      </c>
      <c r="I48" s="41"/>
      <c r="J48" s="41"/>
      <c r="K48" s="41"/>
      <c r="L48" s="41"/>
      <c r="M48" s="41"/>
      <c r="N48" s="4"/>
      <c r="O48" s="42" t="s">
        <v>123</v>
      </c>
      <c r="Q48" s="4"/>
    </row>
    <row r="49" ht="15.75" customHeight="1">
      <c r="B49" s="34"/>
    </row>
    <row r="50" ht="15.75" customHeight="1">
      <c r="B50" s="34"/>
    </row>
    <row r="51" ht="15.75" customHeight="1">
      <c r="B51" s="3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1">
    <mergeCell ref="E40:H40"/>
    <mergeCell ref="I40:L40"/>
    <mergeCell ref="C38:D38"/>
    <mergeCell ref="E38:H38"/>
    <mergeCell ref="I38:L38"/>
    <mergeCell ref="C39:D39"/>
    <mergeCell ref="E39:H39"/>
    <mergeCell ref="I39:L39"/>
    <mergeCell ref="C40:D40"/>
    <mergeCell ref="E43:H43"/>
    <mergeCell ref="I43:L43"/>
    <mergeCell ref="C41:D41"/>
    <mergeCell ref="E41:H41"/>
    <mergeCell ref="I41:L41"/>
    <mergeCell ref="C42:D42"/>
    <mergeCell ref="E42:H42"/>
    <mergeCell ref="I42:L42"/>
    <mergeCell ref="C43:D43"/>
    <mergeCell ref="E46:H46"/>
    <mergeCell ref="I46:L46"/>
    <mergeCell ref="C44:D44"/>
    <mergeCell ref="E44:H44"/>
    <mergeCell ref="I44:L44"/>
    <mergeCell ref="C45:D45"/>
    <mergeCell ref="E45:H45"/>
    <mergeCell ref="I45:L45"/>
    <mergeCell ref="C46:D46"/>
    <mergeCell ref="L1:P1"/>
    <mergeCell ref="G2:L2"/>
    <mergeCell ref="G3:L3"/>
    <mergeCell ref="G4:L4"/>
    <mergeCell ref="E5:H5"/>
    <mergeCell ref="E6:H6"/>
    <mergeCell ref="I6:L6"/>
    <mergeCell ref="C6:D6"/>
    <mergeCell ref="C7:D7"/>
    <mergeCell ref="E7:H7"/>
    <mergeCell ref="I7:L7"/>
    <mergeCell ref="C8:D8"/>
    <mergeCell ref="E8:H8"/>
    <mergeCell ref="I8:L8"/>
    <mergeCell ref="E11:H11"/>
    <mergeCell ref="I11:L11"/>
    <mergeCell ref="C9:D9"/>
    <mergeCell ref="E9:H9"/>
    <mergeCell ref="I9:L9"/>
    <mergeCell ref="C10:D10"/>
    <mergeCell ref="E10:H10"/>
    <mergeCell ref="I10:L10"/>
    <mergeCell ref="C11:D11"/>
    <mergeCell ref="E14:H14"/>
    <mergeCell ref="I14:L14"/>
    <mergeCell ref="C12:D12"/>
    <mergeCell ref="E12:H12"/>
    <mergeCell ref="I12:L12"/>
    <mergeCell ref="C13:D13"/>
    <mergeCell ref="E13:H13"/>
    <mergeCell ref="I13:L13"/>
    <mergeCell ref="C14:D14"/>
    <mergeCell ref="C35:D35"/>
    <mergeCell ref="E35:H35"/>
    <mergeCell ref="C47:D47"/>
    <mergeCell ref="E47:H47"/>
    <mergeCell ref="I47:L47"/>
    <mergeCell ref="D48:G48"/>
    <mergeCell ref="O48:P48"/>
    <mergeCell ref="E30:H30"/>
    <mergeCell ref="C30:D30"/>
    <mergeCell ref="E17:H17"/>
    <mergeCell ref="I17:L17"/>
    <mergeCell ref="C15:D15"/>
    <mergeCell ref="E15:H15"/>
    <mergeCell ref="I15:L15"/>
    <mergeCell ref="C16:D16"/>
    <mergeCell ref="E16:H16"/>
    <mergeCell ref="I16:L16"/>
    <mergeCell ref="C17:D17"/>
    <mergeCell ref="E20:H20"/>
    <mergeCell ref="I20:L20"/>
    <mergeCell ref="C18:D18"/>
    <mergeCell ref="E18:H18"/>
    <mergeCell ref="I18:L18"/>
    <mergeCell ref="C19:D19"/>
    <mergeCell ref="E19:H19"/>
    <mergeCell ref="I19:L19"/>
    <mergeCell ref="C20:D20"/>
    <mergeCell ref="E23:H23"/>
    <mergeCell ref="I23:L23"/>
    <mergeCell ref="C21:D21"/>
    <mergeCell ref="E21:H21"/>
    <mergeCell ref="I21:L21"/>
    <mergeCell ref="C22:D22"/>
    <mergeCell ref="E22:H22"/>
    <mergeCell ref="I22:L22"/>
    <mergeCell ref="C23:D23"/>
    <mergeCell ref="E26:H26"/>
    <mergeCell ref="I26:L26"/>
    <mergeCell ref="C24:D24"/>
    <mergeCell ref="E24:H24"/>
    <mergeCell ref="I24:L24"/>
    <mergeCell ref="C25:D25"/>
    <mergeCell ref="E25:H25"/>
    <mergeCell ref="I25:L25"/>
    <mergeCell ref="C26:D26"/>
    <mergeCell ref="E29:H29"/>
    <mergeCell ref="I29:L29"/>
    <mergeCell ref="C27:D27"/>
    <mergeCell ref="E27:H27"/>
    <mergeCell ref="I27:L27"/>
    <mergeCell ref="C28:D28"/>
    <mergeCell ref="E28:H28"/>
    <mergeCell ref="I28:L28"/>
    <mergeCell ref="C29:D29"/>
    <mergeCell ref="E33:H33"/>
    <mergeCell ref="I33:L33"/>
    <mergeCell ref="C31:D31"/>
    <mergeCell ref="E31:H31"/>
    <mergeCell ref="I31:L31"/>
    <mergeCell ref="C32:D32"/>
    <mergeCell ref="E32:H32"/>
    <mergeCell ref="I32:L32"/>
    <mergeCell ref="C33:D33"/>
    <mergeCell ref="E37:H37"/>
    <mergeCell ref="I37:L37"/>
    <mergeCell ref="C34:D34"/>
    <mergeCell ref="E34:H34"/>
    <mergeCell ref="I34:L34"/>
    <mergeCell ref="C36:D36"/>
    <mergeCell ref="E36:H36"/>
    <mergeCell ref="I36:L36"/>
    <mergeCell ref="C37:D37"/>
  </mergeCells>
  <printOptions/>
  <pageMargins bottom="1.0" footer="0.0" header="0.0" left="0.2777777777777778" right="0.6944444444444444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71"/>
    <col customWidth="1" min="3" max="3" width="7.0"/>
    <col customWidth="1" min="4" max="4" width="7.14"/>
    <col customWidth="1" min="5" max="5" width="4.0"/>
    <col customWidth="1" min="6" max="7" width="4.86"/>
    <col customWidth="1" min="8" max="13" width="3.71"/>
    <col customWidth="1" min="14" max="18" width="4.86"/>
    <col customWidth="1" min="19" max="19" width="8.57"/>
    <col customWidth="1" min="20" max="20" width="10.71"/>
    <col customWidth="1" min="21" max="21" width="11.0"/>
    <col customWidth="1" min="22" max="26" width="10.71"/>
  </cols>
  <sheetData>
    <row r="1" hidden="1">
      <c r="H1" s="1" t="s">
        <v>0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2</v>
      </c>
      <c r="P1" s="1" t="s">
        <v>1</v>
      </c>
      <c r="Q1" s="1" t="s">
        <v>1</v>
      </c>
      <c r="R1" s="1" t="s">
        <v>0</v>
      </c>
    </row>
    <row r="3" ht="15.0" customHeight="1">
      <c r="H3" s="2" t="s">
        <v>3</v>
      </c>
      <c r="I3" s="3"/>
      <c r="J3" s="3"/>
      <c r="K3" s="3"/>
      <c r="L3" s="3"/>
      <c r="M3" s="3"/>
      <c r="N3" s="3"/>
      <c r="O3" s="3"/>
      <c r="P3" s="3"/>
      <c r="Q3" s="3"/>
      <c r="R3" s="5"/>
    </row>
    <row r="4" ht="15.0" customHeight="1">
      <c r="A4" s="2" t="s">
        <v>4</v>
      </c>
      <c r="B4" s="3"/>
      <c r="C4" s="3"/>
      <c r="D4" s="5"/>
      <c r="E4" s="7" t="s">
        <v>5</v>
      </c>
      <c r="F4" s="7" t="s">
        <v>6</v>
      </c>
      <c r="G4" s="7" t="s">
        <v>7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20</v>
      </c>
      <c r="S4" s="7" t="s">
        <v>21</v>
      </c>
    </row>
    <row r="5">
      <c r="A5" s="10" t="s">
        <v>22</v>
      </c>
      <c r="B5" s="3"/>
      <c r="C5" s="3"/>
      <c r="D5" s="5"/>
      <c r="E5" s="13" t="s">
        <v>26</v>
      </c>
      <c r="F5" s="13" t="s">
        <v>26</v>
      </c>
      <c r="G5" s="16" t="s">
        <v>29</v>
      </c>
      <c r="H5" s="13" t="s">
        <v>2</v>
      </c>
      <c r="I5" s="13" t="s">
        <v>2</v>
      </c>
      <c r="J5" s="16" t="s">
        <v>0</v>
      </c>
      <c r="K5" s="13" t="s">
        <v>30</v>
      </c>
      <c r="L5" s="13" t="s">
        <v>30</v>
      </c>
      <c r="M5" s="13" t="s">
        <v>30</v>
      </c>
      <c r="N5" s="13" t="s">
        <v>30</v>
      </c>
      <c r="O5" s="16" t="s">
        <v>2</v>
      </c>
      <c r="P5" s="16" t="s">
        <v>1</v>
      </c>
      <c r="Q5" s="16" t="s">
        <v>1</v>
      </c>
      <c r="R5" s="13" t="s">
        <v>32</v>
      </c>
      <c r="S5" s="30">
        <f t="array" ref="S5">ROUND(SUMPRODUCT(--(UPPER(TRIM(H5:R5))=UPPER(TRIM($H$1:$R$1))))*(10/11),2)</f>
        <v>3.64</v>
      </c>
      <c r="T5" s="31"/>
      <c r="U5" s="33">
        <f>IFERROR(__xludf.DUMMYFUNCTION("COUNTUNIQUE(A5:D46)"),42.0)</f>
        <v>42</v>
      </c>
      <c r="V5" s="34" t="s">
        <v>47</v>
      </c>
    </row>
    <row r="6">
      <c r="A6" s="35" t="s">
        <v>34</v>
      </c>
      <c r="B6" s="3"/>
      <c r="C6" s="3"/>
      <c r="D6" s="5"/>
      <c r="E6" s="13" t="s">
        <v>28</v>
      </c>
      <c r="F6" s="13" t="s">
        <v>28</v>
      </c>
      <c r="G6" s="13" t="s">
        <v>29</v>
      </c>
      <c r="H6" s="36" t="s">
        <v>2</v>
      </c>
      <c r="I6" s="36" t="s">
        <v>1</v>
      </c>
      <c r="J6" s="36" t="s">
        <v>0</v>
      </c>
      <c r="K6" s="36" t="s">
        <v>2</v>
      </c>
      <c r="L6" s="36" t="s">
        <v>1</v>
      </c>
      <c r="M6" s="36" t="s">
        <v>1</v>
      </c>
      <c r="N6" s="36" t="s">
        <v>1</v>
      </c>
      <c r="O6" s="36" t="s">
        <v>2</v>
      </c>
      <c r="P6" s="36" t="s">
        <v>1</v>
      </c>
      <c r="Q6" s="36" t="s">
        <v>1</v>
      </c>
      <c r="R6" s="36" t="s">
        <v>0</v>
      </c>
      <c r="S6" s="30">
        <f t="array" ref="S6">ROUND(SUMPRODUCT(--(UPPER(TRIM(H6:R6))=UPPER(TRIM($H$1:$R$1))))*(10/11),2)</f>
        <v>7.27</v>
      </c>
      <c r="T6" s="31"/>
      <c r="U6" s="34">
        <v>36.0</v>
      </c>
      <c r="V6" s="34" t="s">
        <v>58</v>
      </c>
    </row>
    <row r="7">
      <c r="A7" s="10" t="s">
        <v>36</v>
      </c>
      <c r="B7" s="3"/>
      <c r="C7" s="3"/>
      <c r="D7" s="5"/>
      <c r="E7" s="13" t="s">
        <v>27</v>
      </c>
      <c r="F7" s="16" t="s">
        <v>29</v>
      </c>
      <c r="G7" s="13" t="s">
        <v>29</v>
      </c>
      <c r="H7" s="16" t="s">
        <v>2</v>
      </c>
      <c r="I7" s="13" t="s">
        <v>1</v>
      </c>
      <c r="J7" s="16" t="s">
        <v>0</v>
      </c>
      <c r="K7" s="13" t="s">
        <v>2</v>
      </c>
      <c r="L7" s="16" t="s">
        <v>1</v>
      </c>
      <c r="M7" s="16" t="s">
        <v>1</v>
      </c>
      <c r="N7" s="16" t="s">
        <v>1</v>
      </c>
      <c r="O7" s="16" t="s">
        <v>2</v>
      </c>
      <c r="P7" s="16" t="s">
        <v>1</v>
      </c>
      <c r="Q7" s="16" t="s">
        <v>1</v>
      </c>
      <c r="R7" s="16" t="s">
        <v>0</v>
      </c>
      <c r="S7" s="30">
        <f t="array" ref="S7">ROUND(SUMPRODUCT(--(UPPER(TRIM(H7:R7))=UPPER(TRIM($H$1:$R$1))))*(10/11),2)</f>
        <v>7.27</v>
      </c>
      <c r="T7" s="31"/>
    </row>
    <row r="8">
      <c r="A8" s="35" t="s">
        <v>38</v>
      </c>
      <c r="B8" s="3"/>
      <c r="C8" s="3"/>
      <c r="D8" s="5"/>
      <c r="E8" s="13" t="s">
        <v>28</v>
      </c>
      <c r="F8" s="16" t="s">
        <v>28</v>
      </c>
      <c r="G8" s="13" t="s">
        <v>29</v>
      </c>
      <c r="H8" s="13" t="s">
        <v>71</v>
      </c>
      <c r="I8" s="13" t="s">
        <v>71</v>
      </c>
      <c r="J8" s="16" t="s">
        <v>0</v>
      </c>
      <c r="K8" s="13" t="s">
        <v>2</v>
      </c>
      <c r="L8" s="13" t="s">
        <v>0</v>
      </c>
      <c r="M8" s="16" t="s">
        <v>1</v>
      </c>
      <c r="N8" s="16" t="s">
        <v>1</v>
      </c>
      <c r="O8" s="16" t="s">
        <v>2</v>
      </c>
      <c r="P8" s="13" t="s">
        <v>1</v>
      </c>
      <c r="Q8" s="16" t="s">
        <v>1</v>
      </c>
      <c r="R8" s="13" t="s">
        <v>32</v>
      </c>
      <c r="S8" s="30">
        <f t="array" ref="S8">ROUND(SUMPRODUCT(--(UPPER(TRIM(H8:R8))=UPPER(TRIM($H$1:$R$1))))*(10/11),2)</f>
        <v>5.45</v>
      </c>
      <c r="T8" s="31"/>
      <c r="U8" s="37"/>
    </row>
    <row r="9">
      <c r="A9" s="10" t="s">
        <v>40</v>
      </c>
      <c r="B9" s="3"/>
      <c r="C9" s="3"/>
      <c r="D9" s="5"/>
      <c r="E9" s="16" t="s">
        <v>28</v>
      </c>
      <c r="F9" s="13" t="s">
        <v>27</v>
      </c>
      <c r="G9" s="13" t="s">
        <v>27</v>
      </c>
      <c r="H9" s="13" t="s">
        <v>0</v>
      </c>
      <c r="I9" s="16" t="s">
        <v>1</v>
      </c>
      <c r="J9" s="16" t="s">
        <v>0</v>
      </c>
      <c r="K9" s="16" t="s">
        <v>1</v>
      </c>
      <c r="L9" s="13" t="s">
        <v>1</v>
      </c>
      <c r="M9" s="16" t="s">
        <v>1</v>
      </c>
      <c r="N9" s="16" t="s">
        <v>1</v>
      </c>
      <c r="O9" s="16" t="s">
        <v>2</v>
      </c>
      <c r="P9" s="16" t="s">
        <v>1</v>
      </c>
      <c r="Q9" s="16" t="s">
        <v>1</v>
      </c>
      <c r="R9" s="16" t="s">
        <v>0</v>
      </c>
      <c r="S9" s="30">
        <f t="array" ref="S9">ROUND(SUMPRODUCT(--(UPPER(TRIM(H9:R9))=UPPER(TRIM($H$1:$R$1))))*(10/11),2)</f>
        <v>9.09</v>
      </c>
      <c r="T9" s="31"/>
    </row>
    <row r="10">
      <c r="A10" s="35" t="s">
        <v>42</v>
      </c>
      <c r="B10" s="3"/>
      <c r="C10" s="3"/>
      <c r="D10" s="5"/>
      <c r="E10" s="13" t="s">
        <v>28</v>
      </c>
      <c r="F10" s="13" t="s">
        <v>27</v>
      </c>
      <c r="G10" s="13" t="s">
        <v>28</v>
      </c>
      <c r="H10" s="36" t="s">
        <v>0</v>
      </c>
      <c r="I10" s="36" t="s">
        <v>0</v>
      </c>
      <c r="J10" s="36" t="s">
        <v>0</v>
      </c>
      <c r="K10" s="36" t="s">
        <v>1</v>
      </c>
      <c r="L10" s="36" t="s">
        <v>1</v>
      </c>
      <c r="M10" s="36" t="s">
        <v>32</v>
      </c>
      <c r="N10" s="36" t="s">
        <v>1</v>
      </c>
      <c r="O10" s="36" t="s">
        <v>2</v>
      </c>
      <c r="P10" s="36" t="s">
        <v>1</v>
      </c>
      <c r="Q10" s="36" t="s">
        <v>0</v>
      </c>
      <c r="R10" s="36" t="s">
        <v>32</v>
      </c>
      <c r="S10" s="30">
        <f t="array" ref="S10">ROUND(SUMPRODUCT(--(UPPER(TRIM(H10:R10))=UPPER(TRIM($H$1:$R$1))))*(10/11),2)</f>
        <v>7.27</v>
      </c>
      <c r="T10" s="31"/>
    </row>
    <row r="11">
      <c r="A11" s="10" t="s">
        <v>44</v>
      </c>
      <c r="B11" s="3"/>
      <c r="C11" s="3"/>
      <c r="D11" s="5"/>
      <c r="E11" s="13" t="s">
        <v>28</v>
      </c>
      <c r="F11" s="13" t="s">
        <v>28</v>
      </c>
      <c r="G11" s="13" t="s">
        <v>28</v>
      </c>
      <c r="H11" s="13" t="s">
        <v>1</v>
      </c>
      <c r="I11" s="13" t="s">
        <v>2</v>
      </c>
      <c r="J11" s="16" t="s">
        <v>0</v>
      </c>
      <c r="K11" s="13" t="s">
        <v>2</v>
      </c>
      <c r="L11" s="13" t="s">
        <v>0</v>
      </c>
      <c r="M11" s="13" t="s">
        <v>0</v>
      </c>
      <c r="N11" s="16" t="s">
        <v>1</v>
      </c>
      <c r="O11" s="13" t="s">
        <v>0</v>
      </c>
      <c r="P11" s="16" t="s">
        <v>1</v>
      </c>
      <c r="Q11" s="16" t="s">
        <v>1</v>
      </c>
      <c r="R11" s="13" t="s">
        <v>32</v>
      </c>
      <c r="S11" s="30">
        <f t="array" ref="S11">ROUND(SUMPRODUCT(--(UPPER(TRIM(H11:R11))=UPPER(TRIM($H$1:$R$1))))*(10/11),2)</f>
        <v>3.64</v>
      </c>
      <c r="T11" s="31"/>
    </row>
    <row r="12">
      <c r="A12" s="35" t="s">
        <v>46</v>
      </c>
      <c r="B12" s="3"/>
      <c r="C12" s="3"/>
      <c r="D12" s="5"/>
      <c r="E12" s="16" t="s">
        <v>28</v>
      </c>
      <c r="F12" s="16" t="s">
        <v>28</v>
      </c>
      <c r="G12" s="13" t="s">
        <v>29</v>
      </c>
      <c r="H12" s="16" t="s">
        <v>1</v>
      </c>
      <c r="I12" s="16" t="s">
        <v>1</v>
      </c>
      <c r="J12" s="16" t="s">
        <v>0</v>
      </c>
      <c r="K12" s="13" t="s">
        <v>2</v>
      </c>
      <c r="L12" s="16" t="s">
        <v>1</v>
      </c>
      <c r="M12" s="13" t="s">
        <v>2</v>
      </c>
      <c r="N12" s="16" t="s">
        <v>1</v>
      </c>
      <c r="O12" s="16" t="s">
        <v>2</v>
      </c>
      <c r="P12" s="16" t="s">
        <v>1</v>
      </c>
      <c r="Q12" s="13" t="s">
        <v>1</v>
      </c>
      <c r="R12" s="16" t="s">
        <v>0</v>
      </c>
      <c r="S12" s="30">
        <f t="array" ref="S12">ROUND(SUMPRODUCT(--(UPPER(TRIM(H12:R12))=UPPER(TRIM($H$1:$R$1))))*(10/11),2)</f>
        <v>6.36</v>
      </c>
      <c r="T12" s="31"/>
    </row>
    <row r="13">
      <c r="A13" s="10" t="s">
        <v>49</v>
      </c>
      <c r="B13" s="3"/>
      <c r="C13" s="3"/>
      <c r="D13" s="5"/>
      <c r="E13" s="13" t="s">
        <v>28</v>
      </c>
      <c r="F13" s="16" t="s">
        <v>29</v>
      </c>
      <c r="G13" s="13" t="s">
        <v>28</v>
      </c>
      <c r="H13" s="13" t="s">
        <v>71</v>
      </c>
      <c r="I13" s="13" t="s">
        <v>71</v>
      </c>
      <c r="J13" s="16" t="s">
        <v>0</v>
      </c>
      <c r="K13" s="16" t="s">
        <v>1</v>
      </c>
      <c r="L13" s="16" t="s">
        <v>2</v>
      </c>
      <c r="M13" s="16" t="s">
        <v>1</v>
      </c>
      <c r="N13" s="16" t="s">
        <v>1</v>
      </c>
      <c r="O13" s="16" t="s">
        <v>2</v>
      </c>
      <c r="P13" s="13" t="s">
        <v>30</v>
      </c>
      <c r="Q13" s="16" t="s">
        <v>1</v>
      </c>
      <c r="R13" s="16" t="s">
        <v>0</v>
      </c>
      <c r="S13" s="30">
        <f t="array" ref="S13">ROUND(SUMPRODUCT(--(UPPER(TRIM(H13:R13))=UPPER(TRIM($H$1:$R$1))))*(10/11),2)</f>
        <v>6.36</v>
      </c>
      <c r="T13" s="31"/>
    </row>
    <row r="14">
      <c r="A14" s="35" t="s">
        <v>51</v>
      </c>
      <c r="B14" s="3"/>
      <c r="C14" s="3"/>
      <c r="D14" s="5"/>
      <c r="E14" s="13" t="s">
        <v>28</v>
      </c>
      <c r="F14" s="13" t="s">
        <v>27</v>
      </c>
      <c r="G14" s="13" t="s">
        <v>27</v>
      </c>
      <c r="H14" s="36" t="s">
        <v>0</v>
      </c>
      <c r="I14" s="36" t="s">
        <v>1</v>
      </c>
      <c r="J14" s="36" t="s">
        <v>0</v>
      </c>
      <c r="K14" s="36" t="s">
        <v>1</v>
      </c>
      <c r="L14" s="36" t="s">
        <v>1</v>
      </c>
      <c r="M14" s="36" t="s">
        <v>0</v>
      </c>
      <c r="N14" s="36" t="s">
        <v>1</v>
      </c>
      <c r="O14" s="36" t="s">
        <v>2</v>
      </c>
      <c r="P14" s="36" t="s">
        <v>124</v>
      </c>
      <c r="Q14" s="36" t="s">
        <v>1</v>
      </c>
      <c r="R14" s="36" t="s">
        <v>0</v>
      </c>
      <c r="S14" s="30">
        <f t="array" ref="S14">ROUND(SUMPRODUCT(--(UPPER(TRIM(H14:R14))=UPPER(TRIM($H$1:$R$1))))*(10/11),2)</f>
        <v>7.27</v>
      </c>
      <c r="T14" s="31"/>
    </row>
    <row r="15">
      <c r="A15" s="10" t="s">
        <v>53</v>
      </c>
      <c r="B15" s="3"/>
      <c r="C15" s="3"/>
      <c r="D15" s="5"/>
      <c r="E15" s="13" t="s">
        <v>82</v>
      </c>
      <c r="F15" s="13" t="s">
        <v>27</v>
      </c>
      <c r="G15" s="16" t="s">
        <v>27</v>
      </c>
      <c r="H15" s="13" t="s">
        <v>30</v>
      </c>
      <c r="I15" s="13" t="s">
        <v>1</v>
      </c>
      <c r="J15" s="16" t="s">
        <v>0</v>
      </c>
      <c r="K15" s="16" t="s">
        <v>1</v>
      </c>
      <c r="L15" s="16" t="s">
        <v>1</v>
      </c>
      <c r="M15" s="16" t="s">
        <v>1</v>
      </c>
      <c r="N15" s="16" t="s">
        <v>1</v>
      </c>
      <c r="O15" s="16" t="s">
        <v>2</v>
      </c>
      <c r="P15" s="13" t="s">
        <v>30</v>
      </c>
      <c r="Q15" s="16" t="s">
        <v>1</v>
      </c>
      <c r="R15" s="16" t="s">
        <v>0</v>
      </c>
      <c r="S15" s="30">
        <f t="array" ref="S15">ROUND(SUMPRODUCT(--(UPPER(TRIM(H15:R15))=UPPER(TRIM($H$1:$R$1))))*(10/11),2)</f>
        <v>7.27</v>
      </c>
      <c r="T15" s="31"/>
    </row>
    <row r="16">
      <c r="A16" s="35" t="s">
        <v>55</v>
      </c>
      <c r="B16" s="3"/>
      <c r="C16" s="3"/>
      <c r="D16" s="5"/>
      <c r="E16" s="13" t="s">
        <v>30</v>
      </c>
      <c r="F16" s="13" t="s">
        <v>30</v>
      </c>
      <c r="G16" s="13" t="s">
        <v>30</v>
      </c>
      <c r="H16" s="13" t="s">
        <v>2</v>
      </c>
      <c r="I16" s="13" t="s">
        <v>1</v>
      </c>
      <c r="J16" s="16" t="s">
        <v>2</v>
      </c>
      <c r="K16" s="13" t="s">
        <v>2</v>
      </c>
      <c r="L16" s="13" t="s">
        <v>0</v>
      </c>
      <c r="M16" s="13" t="s">
        <v>1</v>
      </c>
      <c r="N16" s="16" t="s">
        <v>1</v>
      </c>
      <c r="O16" s="13" t="s">
        <v>2</v>
      </c>
      <c r="P16" s="13" t="s">
        <v>30</v>
      </c>
      <c r="Q16" s="13" t="s">
        <v>1</v>
      </c>
      <c r="R16" s="13" t="s">
        <v>30</v>
      </c>
      <c r="S16" s="30">
        <f t="array" ref="S16">ROUND(SUMPRODUCT(--(UPPER(TRIM(H16:R16))=UPPER(TRIM($H$1:$R$1))))*(10/11),2)</f>
        <v>3.64</v>
      </c>
      <c r="T16" s="31"/>
    </row>
    <row r="17">
      <c r="A17" s="10" t="s">
        <v>59</v>
      </c>
      <c r="B17" s="3"/>
      <c r="C17" s="3"/>
      <c r="D17" s="5"/>
      <c r="E17" s="16" t="s">
        <v>27</v>
      </c>
      <c r="F17" s="13" t="s">
        <v>27</v>
      </c>
      <c r="G17" s="13" t="s">
        <v>27</v>
      </c>
      <c r="H17" s="13" t="s">
        <v>71</v>
      </c>
      <c r="I17" s="13" t="s">
        <v>71</v>
      </c>
      <c r="J17" s="16" t="s">
        <v>0</v>
      </c>
      <c r="K17" s="13" t="s">
        <v>0</v>
      </c>
      <c r="L17" s="16" t="s">
        <v>1</v>
      </c>
      <c r="M17" s="13" t="s">
        <v>32</v>
      </c>
      <c r="N17" s="16" t="s">
        <v>1</v>
      </c>
      <c r="O17" s="16" t="s">
        <v>2</v>
      </c>
      <c r="P17" s="16" t="s">
        <v>1</v>
      </c>
      <c r="Q17" s="16" t="s">
        <v>1</v>
      </c>
      <c r="R17" s="13" t="s">
        <v>32</v>
      </c>
      <c r="S17" s="30">
        <f t="array" ref="S17">ROUND(SUMPRODUCT(--(UPPER(TRIM(H17:R17))=UPPER(TRIM($H$1:$R$1))))*(10/11),2)</f>
        <v>5.45</v>
      </c>
      <c r="T17" s="31"/>
    </row>
    <row r="18">
      <c r="A18" s="35" t="s">
        <v>61</v>
      </c>
      <c r="B18" s="3"/>
      <c r="C18" s="3"/>
      <c r="D18" s="5"/>
      <c r="E18" s="16" t="s">
        <v>27</v>
      </c>
      <c r="F18" s="16" t="s">
        <v>29</v>
      </c>
      <c r="G18" s="16" t="s">
        <v>27</v>
      </c>
      <c r="H18" s="16" t="s">
        <v>0</v>
      </c>
      <c r="I18" s="13" t="s">
        <v>71</v>
      </c>
      <c r="J18" s="16" t="s">
        <v>0</v>
      </c>
      <c r="K18" s="13" t="s">
        <v>2</v>
      </c>
      <c r="L18" s="16" t="s">
        <v>1</v>
      </c>
      <c r="M18" s="13" t="s">
        <v>30</v>
      </c>
      <c r="N18" s="13" t="s">
        <v>2</v>
      </c>
      <c r="O18" s="16" t="s">
        <v>2</v>
      </c>
      <c r="P18" s="16" t="s">
        <v>1</v>
      </c>
      <c r="Q18" s="16" t="s">
        <v>1</v>
      </c>
      <c r="R18" s="13" t="s">
        <v>30</v>
      </c>
      <c r="S18" s="30">
        <f t="array" ref="S18">ROUND(SUMPRODUCT(--(UPPER(TRIM(H18:R18))=UPPER(TRIM($H$1:$R$1))))*(10/11),2)</f>
        <v>5.45</v>
      </c>
      <c r="T18" s="31"/>
    </row>
    <row r="19">
      <c r="A19" s="10" t="s">
        <v>63</v>
      </c>
      <c r="B19" s="3"/>
      <c r="C19" s="3"/>
      <c r="D19" s="5"/>
      <c r="E19" s="16" t="s">
        <v>82</v>
      </c>
      <c r="F19" s="13" t="s">
        <v>29</v>
      </c>
      <c r="G19" s="13" t="s">
        <v>27</v>
      </c>
      <c r="H19" s="13" t="s">
        <v>32</v>
      </c>
      <c r="I19" s="16" t="s">
        <v>0</v>
      </c>
      <c r="J19" s="16" t="s">
        <v>0</v>
      </c>
      <c r="K19" s="16" t="s">
        <v>1</v>
      </c>
      <c r="L19" s="16" t="s">
        <v>1</v>
      </c>
      <c r="M19" s="13" t="s">
        <v>0</v>
      </c>
      <c r="N19" s="16" t="s">
        <v>1</v>
      </c>
      <c r="O19" s="16" t="s">
        <v>2</v>
      </c>
      <c r="P19" s="16" t="s">
        <v>1</v>
      </c>
      <c r="Q19" s="16" t="s">
        <v>1</v>
      </c>
      <c r="R19" s="16" t="s">
        <v>0</v>
      </c>
      <c r="S19" s="30">
        <f t="array" ref="S19">ROUND(SUMPRODUCT(--(UPPER(TRIM(H19:R19))=UPPER(TRIM($H$1:$R$1))))*(10/11),2)</f>
        <v>8.18</v>
      </c>
      <c r="T19" s="31"/>
    </row>
    <row r="20">
      <c r="A20" s="35" t="s">
        <v>65</v>
      </c>
      <c r="B20" s="3"/>
      <c r="C20" s="3"/>
      <c r="D20" s="5"/>
      <c r="E20" s="16" t="s">
        <v>28</v>
      </c>
      <c r="F20" s="16" t="s">
        <v>27</v>
      </c>
      <c r="G20" s="13" t="s">
        <v>27</v>
      </c>
      <c r="H20" s="13" t="s">
        <v>0</v>
      </c>
      <c r="I20" s="13" t="s">
        <v>1</v>
      </c>
      <c r="J20" s="16" t="s">
        <v>0</v>
      </c>
      <c r="K20" s="13" t="s">
        <v>1</v>
      </c>
      <c r="L20" s="16" t="s">
        <v>1</v>
      </c>
      <c r="M20" s="13" t="s">
        <v>1</v>
      </c>
      <c r="N20" s="13" t="s">
        <v>1</v>
      </c>
      <c r="O20" s="16" t="s">
        <v>2</v>
      </c>
      <c r="P20" s="16" t="s">
        <v>1</v>
      </c>
      <c r="Q20" s="13" t="s">
        <v>1</v>
      </c>
      <c r="R20" s="16" t="s">
        <v>0</v>
      </c>
      <c r="S20" s="30">
        <f t="array" ref="S20">ROUND(SUMPRODUCT(--(UPPER(TRIM(H20:R20))=UPPER(TRIM($H$1:$R$1))))*(10/11),2)</f>
        <v>9.09</v>
      </c>
      <c r="T20" s="31"/>
    </row>
    <row r="21" ht="15.75" customHeight="1">
      <c r="A21" s="10" t="s">
        <v>67</v>
      </c>
      <c r="B21" s="3"/>
      <c r="C21" s="3"/>
      <c r="D21" s="5"/>
      <c r="E21" s="16" t="s">
        <v>28</v>
      </c>
      <c r="F21" s="16" t="s">
        <v>27</v>
      </c>
      <c r="G21" s="13" t="s">
        <v>27</v>
      </c>
      <c r="H21" s="16" t="s">
        <v>0</v>
      </c>
      <c r="I21" s="13" t="s">
        <v>0</v>
      </c>
      <c r="J21" s="16" t="s">
        <v>0</v>
      </c>
      <c r="K21" s="16" t="s">
        <v>2</v>
      </c>
      <c r="L21" s="16" t="s">
        <v>1</v>
      </c>
      <c r="M21" s="13" t="s">
        <v>0</v>
      </c>
      <c r="N21" s="16" t="s">
        <v>1</v>
      </c>
      <c r="O21" s="16" t="s">
        <v>2</v>
      </c>
      <c r="P21" s="16" t="s">
        <v>1</v>
      </c>
      <c r="Q21" s="13" t="s">
        <v>30</v>
      </c>
      <c r="R21" s="13" t="s">
        <v>0</v>
      </c>
      <c r="S21" s="30">
        <f t="array" ref="S21">ROUND(SUMPRODUCT(--(UPPER(TRIM(H21:R21))=UPPER(TRIM($H$1:$R$1))))*(10/11),2)</f>
        <v>7.27</v>
      </c>
      <c r="T21" s="31"/>
    </row>
    <row r="22" ht="15.75" customHeight="1">
      <c r="A22" s="35" t="s">
        <v>69</v>
      </c>
      <c r="B22" s="3"/>
      <c r="C22" s="3"/>
      <c r="D22" s="5"/>
      <c r="E22" s="13" t="s">
        <v>82</v>
      </c>
      <c r="F22" s="13" t="s">
        <v>27</v>
      </c>
      <c r="G22" s="13" t="s">
        <v>27</v>
      </c>
      <c r="H22" s="36" t="s">
        <v>0</v>
      </c>
      <c r="I22" s="36" t="s">
        <v>71</v>
      </c>
      <c r="J22" s="36" t="s">
        <v>0</v>
      </c>
      <c r="K22" s="36" t="s">
        <v>2</v>
      </c>
      <c r="L22" s="36" t="s">
        <v>1</v>
      </c>
      <c r="M22" s="36" t="s">
        <v>32</v>
      </c>
      <c r="N22" s="36" t="s">
        <v>0</v>
      </c>
      <c r="O22" s="36" t="s">
        <v>0</v>
      </c>
      <c r="P22" s="36" t="s">
        <v>1</v>
      </c>
      <c r="Q22" s="36" t="s">
        <v>0</v>
      </c>
      <c r="R22" s="36" t="s">
        <v>0</v>
      </c>
      <c r="S22" s="30">
        <f t="array" ref="S22">ROUND(SUMPRODUCT(--(UPPER(TRIM(H22:R22))=UPPER(TRIM($H$1:$R$1))))*(10/11),2)</f>
        <v>4.55</v>
      </c>
      <c r="T22" s="31"/>
    </row>
    <row r="23" ht="15.75" customHeight="1">
      <c r="A23" s="10" t="s">
        <v>72</v>
      </c>
      <c r="B23" s="3"/>
      <c r="C23" s="3"/>
      <c r="D23" s="5"/>
      <c r="E23" s="13" t="s">
        <v>82</v>
      </c>
      <c r="F23" s="16" t="s">
        <v>28</v>
      </c>
      <c r="G23" s="13" t="s">
        <v>27</v>
      </c>
      <c r="H23" s="16" t="s">
        <v>0</v>
      </c>
      <c r="I23" s="13" t="s">
        <v>1</v>
      </c>
      <c r="J23" s="16" t="s">
        <v>0</v>
      </c>
      <c r="K23" s="16" t="s">
        <v>2</v>
      </c>
      <c r="L23" s="13" t="s">
        <v>0</v>
      </c>
      <c r="M23" s="13" t="s">
        <v>1</v>
      </c>
      <c r="N23" s="16" t="s">
        <v>1</v>
      </c>
      <c r="O23" s="16" t="s">
        <v>2</v>
      </c>
      <c r="P23" s="13" t="s">
        <v>30</v>
      </c>
      <c r="Q23" s="13" t="s">
        <v>32</v>
      </c>
      <c r="R23" s="16" t="s">
        <v>0</v>
      </c>
      <c r="S23" s="30">
        <f t="array" ref="S23">ROUND(SUMPRODUCT(--(UPPER(TRIM(H23:R23))=UPPER(TRIM($H$1:$R$1))))*(10/11),2)</f>
        <v>5.45</v>
      </c>
      <c r="T23" s="31"/>
    </row>
    <row r="24" ht="15.75" customHeight="1">
      <c r="A24" s="35" t="s">
        <v>74</v>
      </c>
      <c r="B24" s="3"/>
      <c r="C24" s="3"/>
      <c r="D24" s="5"/>
      <c r="E24" s="13" t="s">
        <v>82</v>
      </c>
      <c r="F24" s="13" t="s">
        <v>29</v>
      </c>
      <c r="G24" s="13" t="s">
        <v>27</v>
      </c>
      <c r="H24" s="36" t="s">
        <v>71</v>
      </c>
      <c r="I24" s="36" t="s">
        <v>71</v>
      </c>
      <c r="J24" s="36" t="s">
        <v>0</v>
      </c>
      <c r="K24" s="36" t="s">
        <v>1</v>
      </c>
      <c r="L24" s="36" t="s">
        <v>1</v>
      </c>
      <c r="M24" s="36" t="s">
        <v>0</v>
      </c>
      <c r="N24" s="36" t="s">
        <v>1</v>
      </c>
      <c r="O24" s="36" t="s">
        <v>2</v>
      </c>
      <c r="P24" s="36" t="s">
        <v>1</v>
      </c>
      <c r="Q24" s="36" t="s">
        <v>1</v>
      </c>
      <c r="R24" s="36" t="s">
        <v>0</v>
      </c>
      <c r="S24" s="30">
        <f t="array" ref="S24">ROUND(SUMPRODUCT(--(UPPER(TRIM(H24:R24))=UPPER(TRIM($H$1:$R$1))))*(10/11),2)</f>
        <v>7.27</v>
      </c>
      <c r="T24" s="31"/>
    </row>
    <row r="25" ht="15.75" customHeight="1">
      <c r="A25" s="10" t="s">
        <v>76</v>
      </c>
      <c r="B25" s="3"/>
      <c r="C25" s="3"/>
      <c r="D25" s="5"/>
      <c r="E25" s="13" t="s">
        <v>28</v>
      </c>
      <c r="F25" s="13" t="s">
        <v>29</v>
      </c>
      <c r="G25" s="13" t="s">
        <v>28</v>
      </c>
      <c r="H25" s="36" t="s">
        <v>2</v>
      </c>
      <c r="I25" s="36" t="s">
        <v>1</v>
      </c>
      <c r="J25" s="36" t="s">
        <v>0</v>
      </c>
      <c r="K25" s="36" t="s">
        <v>1</v>
      </c>
      <c r="L25" s="36" t="s">
        <v>2</v>
      </c>
      <c r="M25" s="43" t="s">
        <v>30</v>
      </c>
      <c r="N25" s="36" t="s">
        <v>1</v>
      </c>
      <c r="O25" s="36" t="s">
        <v>2</v>
      </c>
      <c r="P25" s="43" t="s">
        <v>30</v>
      </c>
      <c r="Q25" s="36" t="s">
        <v>1</v>
      </c>
      <c r="R25" s="36" t="s">
        <v>0</v>
      </c>
      <c r="S25" s="30">
        <f t="array" ref="S25">ROUND(SUMPRODUCT(--(UPPER(TRIM(H25:R25))=UPPER(TRIM($H$1:$R$1))))*(10/11),2)</f>
        <v>5.45</v>
      </c>
      <c r="T25" s="31"/>
    </row>
    <row r="26" ht="15.75" customHeight="1">
      <c r="A26" s="35" t="s">
        <v>78</v>
      </c>
      <c r="B26" s="3"/>
      <c r="C26" s="3"/>
      <c r="D26" s="5"/>
      <c r="E26" s="13" t="s">
        <v>28</v>
      </c>
      <c r="F26" s="13" t="s">
        <v>29</v>
      </c>
      <c r="G26" s="13" t="s">
        <v>29</v>
      </c>
      <c r="H26" s="36" t="s">
        <v>0</v>
      </c>
      <c r="I26" s="36" t="s">
        <v>0</v>
      </c>
      <c r="J26" s="36" t="s">
        <v>0</v>
      </c>
      <c r="K26" s="36" t="s">
        <v>1</v>
      </c>
      <c r="L26" s="36" t="s">
        <v>1</v>
      </c>
      <c r="M26" s="36" t="s">
        <v>1</v>
      </c>
      <c r="N26" s="36" t="s">
        <v>1</v>
      </c>
      <c r="O26" s="36" t="s">
        <v>2</v>
      </c>
      <c r="P26" s="36" t="s">
        <v>1</v>
      </c>
      <c r="Q26" s="36" t="s">
        <v>1</v>
      </c>
      <c r="R26" s="36" t="s">
        <v>0</v>
      </c>
      <c r="S26" s="30">
        <f t="array" ref="S26">ROUND(SUMPRODUCT(--(UPPER(TRIM(H26:R26))=UPPER(TRIM($H$1:$R$1))))*(10/11),2)</f>
        <v>10</v>
      </c>
      <c r="T26" s="31"/>
    </row>
    <row r="27" ht="15.75" customHeight="1">
      <c r="A27" s="10" t="s">
        <v>80</v>
      </c>
      <c r="B27" s="3"/>
      <c r="C27" s="3"/>
      <c r="D27" s="5"/>
      <c r="E27" s="13" t="s">
        <v>28</v>
      </c>
      <c r="F27" s="16" t="s">
        <v>27</v>
      </c>
      <c r="G27" s="13" t="s">
        <v>28</v>
      </c>
      <c r="H27" s="16" t="s">
        <v>2</v>
      </c>
      <c r="I27" s="16" t="s">
        <v>1</v>
      </c>
      <c r="J27" s="13" t="s">
        <v>1</v>
      </c>
      <c r="K27" s="13" t="s">
        <v>1</v>
      </c>
      <c r="L27" s="13" t="s">
        <v>2</v>
      </c>
      <c r="M27" s="16" t="s">
        <v>1</v>
      </c>
      <c r="N27" s="16" t="s">
        <v>1</v>
      </c>
      <c r="O27" s="16" t="s">
        <v>2</v>
      </c>
      <c r="P27" s="13" t="s">
        <v>30</v>
      </c>
      <c r="Q27" s="13" t="s">
        <v>1</v>
      </c>
      <c r="R27" s="13" t="s">
        <v>0</v>
      </c>
      <c r="S27" s="30">
        <f t="array" ref="S27">ROUND(SUMPRODUCT(--(UPPER(TRIM(H27:R27))=UPPER(TRIM($H$1:$R$1))))*(10/11),2)</f>
        <v>5.45</v>
      </c>
      <c r="T27" s="31"/>
    </row>
    <row r="28" ht="15.75" customHeight="1">
      <c r="A28" s="44" t="s">
        <v>83</v>
      </c>
      <c r="B28" s="3"/>
      <c r="C28" s="3"/>
      <c r="D28" s="5"/>
      <c r="E28" s="13" t="s">
        <v>28</v>
      </c>
      <c r="F28" s="13" t="s">
        <v>28</v>
      </c>
      <c r="G28" s="13" t="s">
        <v>27</v>
      </c>
      <c r="H28" s="36" t="s">
        <v>1</v>
      </c>
      <c r="I28" s="36" t="s">
        <v>2</v>
      </c>
      <c r="J28" s="36" t="s">
        <v>0</v>
      </c>
      <c r="K28" s="36" t="s">
        <v>1</v>
      </c>
      <c r="L28" s="36" t="s">
        <v>1</v>
      </c>
      <c r="M28" s="36" t="s">
        <v>1</v>
      </c>
      <c r="N28" s="36" t="s">
        <v>1</v>
      </c>
      <c r="O28" s="36" t="s">
        <v>2</v>
      </c>
      <c r="P28" s="36" t="s">
        <v>1</v>
      </c>
      <c r="Q28" s="36" t="s">
        <v>1</v>
      </c>
      <c r="R28" s="36" t="s">
        <v>32</v>
      </c>
      <c r="S28" s="30">
        <f t="array" ref="S28">ROUND(SUMPRODUCT(--(UPPER(TRIM(H28:R28))=UPPER(TRIM($H$1:$R$1))))*(10/11),2)</f>
        <v>7.27</v>
      </c>
      <c r="T28" s="31"/>
    </row>
    <row r="29" ht="15.75" customHeight="1">
      <c r="A29" s="44" t="s">
        <v>85</v>
      </c>
      <c r="B29" s="3"/>
      <c r="C29" s="3"/>
      <c r="D29" s="5"/>
      <c r="E29" s="13" t="s">
        <v>28</v>
      </c>
      <c r="F29" s="13" t="s">
        <v>27</v>
      </c>
      <c r="G29" s="13" t="s">
        <v>27</v>
      </c>
      <c r="H29" s="36" t="s">
        <v>71</v>
      </c>
      <c r="I29" s="36" t="s">
        <v>71</v>
      </c>
      <c r="J29" s="36" t="s">
        <v>0</v>
      </c>
      <c r="K29" s="36" t="s">
        <v>0</v>
      </c>
      <c r="L29" s="36" t="s">
        <v>1</v>
      </c>
      <c r="M29" s="36" t="s">
        <v>32</v>
      </c>
      <c r="N29" s="36" t="s">
        <v>1</v>
      </c>
      <c r="O29" s="36" t="s">
        <v>2</v>
      </c>
      <c r="P29" s="36" t="s">
        <v>1</v>
      </c>
      <c r="Q29" s="36" t="s">
        <v>32</v>
      </c>
      <c r="R29" s="36" t="s">
        <v>1</v>
      </c>
      <c r="S29" s="30">
        <f t="array" ref="S29">ROUND(SUMPRODUCT(--(UPPER(TRIM(H29:R29))=UPPER(TRIM($H$1:$R$1))))*(10/11),2)</f>
        <v>4.55</v>
      </c>
      <c r="T29" s="31"/>
    </row>
    <row r="30" ht="15.75" customHeight="1">
      <c r="A30" s="10" t="s">
        <v>86</v>
      </c>
      <c r="B30" s="3"/>
      <c r="C30" s="3"/>
      <c r="D30" s="5"/>
      <c r="E30" s="13" t="s">
        <v>28</v>
      </c>
      <c r="F30" s="13" t="s">
        <v>28</v>
      </c>
      <c r="G30" s="13" t="s">
        <v>28</v>
      </c>
      <c r="H30" s="13" t="s">
        <v>30</v>
      </c>
      <c r="I30" s="13" t="s">
        <v>0</v>
      </c>
      <c r="J30" s="16" t="s">
        <v>0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2</v>
      </c>
      <c r="P30" s="16" t="s">
        <v>1</v>
      </c>
      <c r="Q30" s="16" t="s">
        <v>1</v>
      </c>
      <c r="R30" s="16" t="s">
        <v>0</v>
      </c>
      <c r="S30" s="30">
        <f t="array" ref="S30">ROUND(SUMPRODUCT(--(UPPER(TRIM(H30:R30))=UPPER(TRIM($H$1:$R$1))))*(10/11),2)</f>
        <v>9.09</v>
      </c>
      <c r="T30" s="31"/>
    </row>
    <row r="31" ht="15.75" customHeight="1">
      <c r="A31" s="35" t="s">
        <v>88</v>
      </c>
      <c r="B31" s="3"/>
      <c r="C31" s="3"/>
      <c r="D31" s="5"/>
      <c r="E31" s="13" t="s">
        <v>82</v>
      </c>
      <c r="F31" s="16" t="s">
        <v>29</v>
      </c>
      <c r="G31" s="16" t="s">
        <v>27</v>
      </c>
      <c r="H31" s="13" t="s">
        <v>0</v>
      </c>
      <c r="I31" s="13" t="s">
        <v>0</v>
      </c>
      <c r="J31" s="16" t="s">
        <v>0</v>
      </c>
      <c r="K31" s="13" t="s">
        <v>2</v>
      </c>
      <c r="L31" s="16" t="s">
        <v>1</v>
      </c>
      <c r="M31" s="16" t="s">
        <v>1</v>
      </c>
      <c r="N31" s="16" t="s">
        <v>1</v>
      </c>
      <c r="O31" s="16" t="s">
        <v>2</v>
      </c>
      <c r="P31" s="16" t="s">
        <v>1</v>
      </c>
      <c r="Q31" s="13" t="s">
        <v>32</v>
      </c>
      <c r="R31" s="13" t="s">
        <v>0</v>
      </c>
      <c r="S31" s="30">
        <f t="array" ref="S31">ROUND(SUMPRODUCT(--(UPPER(TRIM(H31:R31))=UPPER(TRIM($H$1:$R$1))))*(10/11),2)</f>
        <v>8.18</v>
      </c>
      <c r="T31" s="31"/>
    </row>
    <row r="32" ht="15.75" customHeight="1">
      <c r="A32" s="10" t="s">
        <v>90</v>
      </c>
      <c r="B32" s="3"/>
      <c r="C32" s="3"/>
      <c r="D32" s="5"/>
      <c r="E32" s="16" t="s">
        <v>82</v>
      </c>
      <c r="F32" s="16" t="s">
        <v>27</v>
      </c>
      <c r="G32" s="13" t="s">
        <v>29</v>
      </c>
      <c r="H32" s="13" t="s">
        <v>1</v>
      </c>
      <c r="I32" s="13" t="s">
        <v>1</v>
      </c>
      <c r="J32" s="13" t="s">
        <v>0</v>
      </c>
      <c r="K32" s="16" t="s">
        <v>1</v>
      </c>
      <c r="L32" s="13" t="s">
        <v>0</v>
      </c>
      <c r="M32" s="13" t="s">
        <v>1</v>
      </c>
      <c r="N32" s="13" t="s">
        <v>2</v>
      </c>
      <c r="O32" s="16" t="s">
        <v>2</v>
      </c>
      <c r="P32" s="13" t="s">
        <v>1</v>
      </c>
      <c r="Q32" s="13" t="s">
        <v>1</v>
      </c>
      <c r="R32" s="13" t="s">
        <v>32</v>
      </c>
      <c r="S32" s="30">
        <f t="array" ref="S32">ROUND(SUMPRODUCT(--(UPPER(TRIM(H32:R32))=UPPER(TRIM($H$1:$R$1))))*(10/11),2)</f>
        <v>5.45</v>
      </c>
      <c r="T32" s="31"/>
    </row>
    <row r="33" ht="15.75" customHeight="1">
      <c r="A33" s="35" t="s">
        <v>92</v>
      </c>
      <c r="B33" s="3"/>
      <c r="C33" s="3"/>
      <c r="D33" s="5"/>
      <c r="E33" s="13" t="s">
        <v>27</v>
      </c>
      <c r="F33" s="13" t="s">
        <v>29</v>
      </c>
      <c r="G33" s="13" t="s">
        <v>27</v>
      </c>
      <c r="H33" s="13" t="s">
        <v>0</v>
      </c>
      <c r="I33" s="13" t="s">
        <v>71</v>
      </c>
      <c r="J33" s="16" t="s">
        <v>0</v>
      </c>
      <c r="K33" s="13" t="s">
        <v>1</v>
      </c>
      <c r="L33" s="13" t="s">
        <v>1</v>
      </c>
      <c r="M33" s="16" t="s">
        <v>1</v>
      </c>
      <c r="N33" s="16" t="s">
        <v>1</v>
      </c>
      <c r="O33" s="16" t="s">
        <v>2</v>
      </c>
      <c r="P33" s="13" t="s">
        <v>1</v>
      </c>
      <c r="Q33" s="13" t="s">
        <v>32</v>
      </c>
      <c r="R33" s="13" t="s">
        <v>32</v>
      </c>
      <c r="S33" s="30">
        <f t="array" ref="S33">ROUND(SUMPRODUCT(--(UPPER(TRIM(H33:R33))=UPPER(TRIM($H$1:$R$1))))*(10/11),2)</f>
        <v>7.27</v>
      </c>
      <c r="T33" s="31"/>
    </row>
    <row r="34" ht="15.75" customHeight="1">
      <c r="A34" s="35" t="s">
        <v>94</v>
      </c>
      <c r="B34" s="3"/>
      <c r="C34" s="3"/>
      <c r="D34" s="5"/>
      <c r="E34" s="13" t="s">
        <v>27</v>
      </c>
      <c r="F34" s="13" t="s">
        <v>29</v>
      </c>
      <c r="G34" s="13" t="s">
        <v>27</v>
      </c>
      <c r="H34" s="13" t="s">
        <v>0</v>
      </c>
      <c r="I34" s="13" t="s">
        <v>71</v>
      </c>
      <c r="J34" s="13" t="s">
        <v>0</v>
      </c>
      <c r="K34" s="13" t="s">
        <v>1</v>
      </c>
      <c r="L34" s="13" t="s">
        <v>1</v>
      </c>
      <c r="M34" s="13" t="s">
        <v>32</v>
      </c>
      <c r="N34" s="13" t="s">
        <v>1</v>
      </c>
      <c r="O34" s="13" t="s">
        <v>2</v>
      </c>
      <c r="P34" s="13" t="s">
        <v>1</v>
      </c>
      <c r="Q34" s="13" t="s">
        <v>1</v>
      </c>
      <c r="R34" s="13" t="s">
        <v>1</v>
      </c>
      <c r="S34" s="30">
        <f t="array" ref="S34">ROUND(SUMPRODUCT(--(UPPER(TRIM(H34:R34))=UPPER(TRIM($H$1:$R$1))))*(10/11),2)</f>
        <v>7.27</v>
      </c>
      <c r="T34" s="31"/>
    </row>
    <row r="35" ht="15.75" customHeight="1">
      <c r="A35" s="10" t="s">
        <v>95</v>
      </c>
      <c r="B35" s="3"/>
      <c r="C35" s="3"/>
      <c r="D35" s="5"/>
      <c r="E35" s="13" t="s">
        <v>30</v>
      </c>
      <c r="F35" s="13" t="s">
        <v>30</v>
      </c>
      <c r="G35" s="13" t="s">
        <v>30</v>
      </c>
      <c r="H35" s="43" t="s">
        <v>30</v>
      </c>
      <c r="I35" s="43" t="s">
        <v>30</v>
      </c>
      <c r="J35" s="43" t="s">
        <v>30</v>
      </c>
      <c r="K35" s="43" t="s">
        <v>30</v>
      </c>
      <c r="L35" s="43" t="s">
        <v>30</v>
      </c>
      <c r="M35" s="43" t="s">
        <v>30</v>
      </c>
      <c r="N35" s="43" t="s">
        <v>30</v>
      </c>
      <c r="O35" s="43" t="s">
        <v>30</v>
      </c>
      <c r="P35" s="43" t="s">
        <v>30</v>
      </c>
      <c r="Q35" s="43" t="s">
        <v>30</v>
      </c>
      <c r="R35" s="43" t="s">
        <v>30</v>
      </c>
      <c r="S35" s="30">
        <f t="array" ref="S35">ROUND(SUMPRODUCT(--(UPPER(TRIM(H35:R35))=UPPER(TRIM($H$1:$R$1))))*(10/11),2)</f>
        <v>0</v>
      </c>
      <c r="T35" s="45"/>
      <c r="U35" s="34" t="s">
        <v>125</v>
      </c>
    </row>
    <row r="36" ht="15.75" customHeight="1">
      <c r="A36" s="35" t="s">
        <v>98</v>
      </c>
      <c r="B36" s="3"/>
      <c r="C36" s="3"/>
      <c r="D36" s="5"/>
      <c r="E36" s="13" t="s">
        <v>30</v>
      </c>
      <c r="F36" s="13" t="s">
        <v>30</v>
      </c>
      <c r="G36" s="13" t="s">
        <v>30</v>
      </c>
      <c r="H36" s="43" t="s">
        <v>30</v>
      </c>
      <c r="I36" s="43" t="s">
        <v>30</v>
      </c>
      <c r="J36" s="43" t="s">
        <v>30</v>
      </c>
      <c r="K36" s="43" t="s">
        <v>30</v>
      </c>
      <c r="L36" s="43" t="s">
        <v>30</v>
      </c>
      <c r="M36" s="43" t="s">
        <v>30</v>
      </c>
      <c r="N36" s="43" t="s">
        <v>30</v>
      </c>
      <c r="O36" s="43" t="s">
        <v>30</v>
      </c>
      <c r="P36" s="43" t="s">
        <v>30</v>
      </c>
      <c r="Q36" s="43" t="s">
        <v>30</v>
      </c>
      <c r="R36" s="43" t="s">
        <v>30</v>
      </c>
      <c r="S36" s="30">
        <f t="array" ref="S36">ROUND(SUMPRODUCT(--(UPPER(TRIM(H36:R36))=UPPER(TRIM($H$1:$R$1))))*(10/11),2)</f>
        <v>0</v>
      </c>
    </row>
    <row r="37" ht="15.75" customHeight="1">
      <c r="A37" s="10" t="s">
        <v>100</v>
      </c>
      <c r="B37" s="3"/>
      <c r="C37" s="3"/>
      <c r="D37" s="5"/>
      <c r="E37" s="16" t="s">
        <v>27</v>
      </c>
      <c r="F37" s="13" t="s">
        <v>27</v>
      </c>
      <c r="G37" s="16" t="s">
        <v>28</v>
      </c>
      <c r="H37" s="13" t="s">
        <v>2</v>
      </c>
      <c r="I37" s="13" t="s">
        <v>0</v>
      </c>
      <c r="J37" s="13" t="s">
        <v>2</v>
      </c>
      <c r="K37" s="13" t="s">
        <v>2</v>
      </c>
      <c r="L37" s="16" t="s">
        <v>1</v>
      </c>
      <c r="M37" s="13" t="s">
        <v>0</v>
      </c>
      <c r="N37" s="16" t="s">
        <v>1</v>
      </c>
      <c r="O37" s="16" t="s">
        <v>2</v>
      </c>
      <c r="P37" s="13" t="s">
        <v>30</v>
      </c>
      <c r="Q37" s="16" t="s">
        <v>1</v>
      </c>
      <c r="R37" s="13" t="s">
        <v>32</v>
      </c>
      <c r="S37" s="30">
        <f t="array" ref="S37">ROUND(SUMPRODUCT(--(UPPER(TRIM(H37:R37))=UPPER(TRIM($H$1:$R$1))))*(10/11),2)</f>
        <v>4.55</v>
      </c>
      <c r="T37" s="31"/>
    </row>
    <row r="38" ht="15.75" customHeight="1">
      <c r="A38" s="35" t="s">
        <v>102</v>
      </c>
      <c r="B38" s="3"/>
      <c r="C38" s="3"/>
      <c r="D38" s="5"/>
      <c r="E38" s="13" t="s">
        <v>82</v>
      </c>
      <c r="F38" s="13" t="s">
        <v>29</v>
      </c>
      <c r="G38" s="13" t="s">
        <v>27</v>
      </c>
      <c r="H38" s="13" t="s">
        <v>2</v>
      </c>
      <c r="I38" s="13" t="s">
        <v>0</v>
      </c>
      <c r="J38" s="16" t="s">
        <v>0</v>
      </c>
      <c r="K38" s="13" t="s">
        <v>1</v>
      </c>
      <c r="L38" s="16" t="s">
        <v>2</v>
      </c>
      <c r="M38" s="13" t="s">
        <v>2</v>
      </c>
      <c r="N38" s="16" t="s">
        <v>2</v>
      </c>
      <c r="O38" s="13" t="s">
        <v>1</v>
      </c>
      <c r="P38" s="13" t="s">
        <v>1</v>
      </c>
      <c r="Q38" s="13" t="s">
        <v>32</v>
      </c>
      <c r="R38" s="13" t="s">
        <v>32</v>
      </c>
      <c r="S38" s="30">
        <f t="array" ref="S38">ROUND(SUMPRODUCT(--(UPPER(TRIM(H38:R38))=UPPER(TRIM($H$1:$R$1))))*(10/11),2)</f>
        <v>3.64</v>
      </c>
      <c r="T38" s="31"/>
    </row>
    <row r="39" ht="15.75" customHeight="1">
      <c r="A39" s="10" t="s">
        <v>104</v>
      </c>
      <c r="B39" s="3"/>
      <c r="C39" s="3"/>
      <c r="D39" s="5"/>
      <c r="E39" s="13" t="s">
        <v>28</v>
      </c>
      <c r="F39" s="16" t="s">
        <v>29</v>
      </c>
      <c r="G39" s="13" t="s">
        <v>28</v>
      </c>
      <c r="H39" s="16" t="s">
        <v>0</v>
      </c>
      <c r="I39" s="13" t="s">
        <v>2</v>
      </c>
      <c r="J39" s="16" t="s">
        <v>0</v>
      </c>
      <c r="K39" s="16" t="s">
        <v>1</v>
      </c>
      <c r="L39" s="13" t="s">
        <v>2</v>
      </c>
      <c r="M39" s="16" t="s">
        <v>1</v>
      </c>
      <c r="N39" s="16" t="s">
        <v>1</v>
      </c>
      <c r="O39" s="16" t="s">
        <v>2</v>
      </c>
      <c r="P39" s="13" t="s">
        <v>30</v>
      </c>
      <c r="Q39" s="13" t="s">
        <v>32</v>
      </c>
      <c r="R39" s="13" t="s">
        <v>0</v>
      </c>
      <c r="S39" s="30">
        <f t="array" ref="S39">ROUND(SUMPRODUCT(--(UPPER(TRIM(H39:R39))=UPPER(TRIM($H$1:$R$1))))*(10/11),2)</f>
        <v>6.36</v>
      </c>
      <c r="T39" s="31"/>
    </row>
    <row r="40" ht="15.75" customHeight="1">
      <c r="A40" s="35" t="s">
        <v>106</v>
      </c>
      <c r="B40" s="3"/>
      <c r="C40" s="3"/>
      <c r="D40" s="5"/>
      <c r="E40" s="13" t="s">
        <v>27</v>
      </c>
      <c r="F40" s="16" t="s">
        <v>27</v>
      </c>
      <c r="G40" s="16" t="s">
        <v>27</v>
      </c>
      <c r="H40" s="13" t="s">
        <v>0</v>
      </c>
      <c r="I40" s="13" t="s">
        <v>0</v>
      </c>
      <c r="J40" s="16" t="s">
        <v>0</v>
      </c>
      <c r="K40" s="16" t="s">
        <v>2</v>
      </c>
      <c r="L40" s="13" t="s">
        <v>1</v>
      </c>
      <c r="M40" s="13" t="s">
        <v>1</v>
      </c>
      <c r="N40" s="16" t="s">
        <v>1</v>
      </c>
      <c r="O40" s="16" t="s">
        <v>2</v>
      </c>
      <c r="P40" s="13" t="s">
        <v>1</v>
      </c>
      <c r="Q40" s="13" t="s">
        <v>1</v>
      </c>
      <c r="R40" s="13" t="s">
        <v>0</v>
      </c>
      <c r="S40" s="30">
        <f t="array" ref="S40">ROUND(SUMPRODUCT(--(UPPER(TRIM(H40:R40))=UPPER(TRIM($H$1:$R$1))))*(10/11),2)</f>
        <v>9.09</v>
      </c>
      <c r="T40" s="31"/>
    </row>
    <row r="41" ht="15.75" customHeight="1">
      <c r="A41" s="10" t="s">
        <v>108</v>
      </c>
      <c r="B41" s="3"/>
      <c r="C41" s="3"/>
      <c r="D41" s="5"/>
      <c r="E41" s="13" t="s">
        <v>30</v>
      </c>
      <c r="F41" s="13" t="s">
        <v>30</v>
      </c>
      <c r="G41" s="13" t="s">
        <v>30</v>
      </c>
      <c r="H41" s="43" t="s">
        <v>30</v>
      </c>
      <c r="I41" s="43" t="s">
        <v>30</v>
      </c>
      <c r="J41" s="43" t="s">
        <v>30</v>
      </c>
      <c r="K41" s="43" t="s">
        <v>30</v>
      </c>
      <c r="L41" s="43" t="s">
        <v>30</v>
      </c>
      <c r="M41" s="43" t="s">
        <v>30</v>
      </c>
      <c r="N41" s="43" t="s">
        <v>30</v>
      </c>
      <c r="O41" s="43" t="s">
        <v>30</v>
      </c>
      <c r="P41" s="43" t="s">
        <v>30</v>
      </c>
      <c r="Q41" s="43" t="s">
        <v>30</v>
      </c>
      <c r="R41" s="43" t="s">
        <v>30</v>
      </c>
      <c r="S41" s="30">
        <f t="array" ref="S41">ROUND(SUMPRODUCT(--(UPPER(TRIM(H41:R41))=UPPER(TRIM($H$1:$R$1))))*(10/11),2)</f>
        <v>0</v>
      </c>
    </row>
    <row r="42" ht="15.75" customHeight="1">
      <c r="A42" s="35" t="s">
        <v>110</v>
      </c>
      <c r="B42" s="3"/>
      <c r="C42" s="3"/>
      <c r="D42" s="5"/>
      <c r="E42" s="13" t="s">
        <v>28</v>
      </c>
      <c r="F42" s="16" t="s">
        <v>29</v>
      </c>
      <c r="G42" s="13" t="s">
        <v>28</v>
      </c>
      <c r="H42" s="16" t="s">
        <v>0</v>
      </c>
      <c r="I42" s="13" t="s">
        <v>2</v>
      </c>
      <c r="J42" s="16" t="s">
        <v>0</v>
      </c>
      <c r="K42" s="16" t="s">
        <v>1</v>
      </c>
      <c r="L42" s="13" t="s">
        <v>2</v>
      </c>
      <c r="M42" s="16" t="s">
        <v>1</v>
      </c>
      <c r="N42" s="16" t="s">
        <v>1</v>
      </c>
      <c r="O42" s="16" t="s">
        <v>2</v>
      </c>
      <c r="P42" s="13" t="s">
        <v>30</v>
      </c>
      <c r="Q42" s="13" t="s">
        <v>32</v>
      </c>
      <c r="R42" s="13" t="s">
        <v>0</v>
      </c>
      <c r="S42" s="30">
        <f t="array" ref="S42">ROUND(SUMPRODUCT(--(UPPER(TRIM(H42:R42))=UPPER(TRIM($H$1:$R$1))))*(10/11),2)</f>
        <v>6.36</v>
      </c>
      <c r="T42" s="31"/>
    </row>
    <row r="43" ht="15.75" customHeight="1">
      <c r="A43" s="10" t="s">
        <v>113</v>
      </c>
      <c r="B43" s="3"/>
      <c r="C43" s="3"/>
      <c r="D43" s="5"/>
      <c r="E43" s="16" t="s">
        <v>82</v>
      </c>
      <c r="F43" s="13" t="s">
        <v>27</v>
      </c>
      <c r="G43" s="13" t="s">
        <v>27</v>
      </c>
      <c r="H43" s="13" t="s">
        <v>71</v>
      </c>
      <c r="I43" s="16" t="s">
        <v>1</v>
      </c>
      <c r="J43" s="16" t="s">
        <v>0</v>
      </c>
      <c r="K43" s="13" t="s">
        <v>1</v>
      </c>
      <c r="L43" s="16" t="s">
        <v>1</v>
      </c>
      <c r="M43" s="13" t="s">
        <v>32</v>
      </c>
      <c r="N43" s="16" t="s">
        <v>1</v>
      </c>
      <c r="O43" s="16" t="s">
        <v>2</v>
      </c>
      <c r="P43" s="13" t="s">
        <v>1</v>
      </c>
      <c r="Q43" s="16" t="s">
        <v>1</v>
      </c>
      <c r="R43" s="13" t="s">
        <v>32</v>
      </c>
      <c r="S43" s="30">
        <f t="array" ref="S43">ROUND(SUMPRODUCT(--(UPPER(TRIM(H43:R43))=UPPER(TRIM($H$1:$R$1))))*(10/11),2)</f>
        <v>6.36</v>
      </c>
      <c r="T43" s="31"/>
    </row>
    <row r="44" ht="15.75" customHeight="1">
      <c r="A44" s="35" t="s">
        <v>115</v>
      </c>
      <c r="B44" s="3"/>
      <c r="C44" s="3"/>
      <c r="D44" s="5"/>
      <c r="E44" s="16" t="s">
        <v>27</v>
      </c>
      <c r="F44" s="13" t="s">
        <v>27</v>
      </c>
      <c r="G44" s="13" t="s">
        <v>27</v>
      </c>
      <c r="H44" s="13" t="s">
        <v>32</v>
      </c>
      <c r="I44" s="13" t="s">
        <v>32</v>
      </c>
      <c r="J44" s="16" t="s">
        <v>0</v>
      </c>
      <c r="K44" s="13" t="s">
        <v>1</v>
      </c>
      <c r="L44" s="16" t="s">
        <v>1</v>
      </c>
      <c r="M44" s="13" t="s">
        <v>32</v>
      </c>
      <c r="N44" s="16" t="s">
        <v>1</v>
      </c>
      <c r="O44" s="16" t="s">
        <v>2</v>
      </c>
      <c r="P44" s="16" t="s">
        <v>1</v>
      </c>
      <c r="Q44" s="16" t="s">
        <v>1</v>
      </c>
      <c r="R44" s="13" t="s">
        <v>1</v>
      </c>
      <c r="S44" s="30">
        <f t="array" ref="S44">ROUND(SUMPRODUCT(--(UPPER(TRIM(H44:R44))=UPPER(TRIM($H$1:$R$1))))*(10/11),2)</f>
        <v>6.36</v>
      </c>
      <c r="T44" s="31"/>
    </row>
    <row r="45" ht="15.75" customHeight="1">
      <c r="A45" s="10" t="s">
        <v>117</v>
      </c>
      <c r="B45" s="3"/>
      <c r="C45" s="3"/>
      <c r="D45" s="5"/>
      <c r="E45" s="13" t="s">
        <v>28</v>
      </c>
      <c r="F45" s="13" t="s">
        <v>28</v>
      </c>
      <c r="G45" s="13" t="s">
        <v>29</v>
      </c>
      <c r="H45" s="36" t="s">
        <v>71</v>
      </c>
      <c r="I45" s="36" t="s">
        <v>71</v>
      </c>
      <c r="J45" s="36" t="s">
        <v>1</v>
      </c>
      <c r="K45" s="36" t="s">
        <v>2</v>
      </c>
      <c r="L45" s="36" t="s">
        <v>0</v>
      </c>
      <c r="M45" s="36" t="s">
        <v>1</v>
      </c>
      <c r="N45" s="36" t="s">
        <v>1</v>
      </c>
      <c r="O45" s="36" t="s">
        <v>2</v>
      </c>
      <c r="P45" s="43" t="s">
        <v>30</v>
      </c>
      <c r="Q45" s="36" t="s">
        <v>1</v>
      </c>
      <c r="R45" s="36" t="s">
        <v>0</v>
      </c>
      <c r="S45" s="30">
        <f t="array" ref="S45">ROUND(SUMPRODUCT(--(UPPER(TRIM(H45:R45))=UPPER(TRIM($H$1:$R$1))))*(10/11),2)</f>
        <v>4.55</v>
      </c>
      <c r="T45" s="31"/>
    </row>
    <row r="46" ht="15.75" customHeight="1">
      <c r="A46" s="35" t="s">
        <v>119</v>
      </c>
      <c r="B46" s="3"/>
      <c r="C46" s="3"/>
      <c r="D46" s="5"/>
      <c r="E46" s="13" t="s">
        <v>30</v>
      </c>
      <c r="F46" s="13" t="s">
        <v>30</v>
      </c>
      <c r="G46" s="13" t="s">
        <v>30</v>
      </c>
      <c r="H46" s="43" t="s">
        <v>30</v>
      </c>
      <c r="I46" s="43" t="s">
        <v>30</v>
      </c>
      <c r="J46" s="43" t="s">
        <v>30</v>
      </c>
      <c r="K46" s="43" t="s">
        <v>30</v>
      </c>
      <c r="L46" s="43" t="s">
        <v>30</v>
      </c>
      <c r="M46" s="43" t="s">
        <v>30</v>
      </c>
      <c r="N46" s="43" t="s">
        <v>30</v>
      </c>
      <c r="O46" s="43" t="s">
        <v>30</v>
      </c>
      <c r="P46" s="43" t="s">
        <v>30</v>
      </c>
      <c r="Q46" s="43" t="s">
        <v>30</v>
      </c>
      <c r="R46" s="43" t="s">
        <v>30</v>
      </c>
      <c r="S46" s="30">
        <f t="array" ref="S46">ROUND(SUMPRODUCT(--(UPPER(TRIM(H46:R46))=UPPER(TRIM($H$1:$R$1))))*(10/11),2)</f>
        <v>0</v>
      </c>
    </row>
    <row r="47" ht="15.75" customHeight="1">
      <c r="S47" s="47" t="s">
        <v>126</v>
      </c>
    </row>
    <row r="48" ht="15.75" customHeight="1">
      <c r="S48" s="48">
        <f>ROUND(AVERAGEIF(S5:S46, "&gt;0"), 2)</f>
        <v>6.43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4">
    <mergeCell ref="H3:R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30:D30"/>
    <mergeCell ref="A31:D31"/>
    <mergeCell ref="A29:D29"/>
    <mergeCell ref="A40:D40"/>
    <mergeCell ref="A41:D41"/>
    <mergeCell ref="A42:D42"/>
    <mergeCell ref="A43:D43"/>
    <mergeCell ref="A44:D44"/>
    <mergeCell ref="A45:D45"/>
    <mergeCell ref="A46:D46"/>
    <mergeCell ref="A32:D32"/>
    <mergeCell ref="A33:D33"/>
    <mergeCell ref="A35:D35"/>
    <mergeCell ref="A36:D36"/>
    <mergeCell ref="A37:D37"/>
    <mergeCell ref="A38:D38"/>
    <mergeCell ref="A39:D39"/>
    <mergeCell ref="A34:D34"/>
  </mergeCells>
  <conditionalFormatting sqref="H5:I46">
    <cfRule type="expression" dxfId="0" priority="1">
      <formula>OR(H5="A",H5="B",H5="D",H5="E")</formula>
    </cfRule>
  </conditionalFormatting>
  <conditionalFormatting sqref="H5:I46">
    <cfRule type="expression" dxfId="1" priority="2">
      <formula>H5="C"</formula>
    </cfRule>
  </conditionalFormatting>
  <conditionalFormatting sqref="J5:J46">
    <cfRule type="expression" dxfId="0" priority="3">
      <formula>OR(J5="A",J5="B")</formula>
    </cfRule>
  </conditionalFormatting>
  <conditionalFormatting sqref="J5:J46">
    <cfRule type="expression" dxfId="1" priority="4">
      <formula>J5="C"</formula>
    </cfRule>
  </conditionalFormatting>
  <conditionalFormatting sqref="K5:N46">
    <cfRule type="expression" dxfId="0" priority="5">
      <formula>OR(K5="A",K5="C")</formula>
    </cfRule>
  </conditionalFormatting>
  <conditionalFormatting sqref="K5:N46">
    <cfRule type="expression" dxfId="1" priority="6">
      <formula>K5="B"</formula>
    </cfRule>
  </conditionalFormatting>
  <conditionalFormatting sqref="O5:O46">
    <cfRule type="expression" dxfId="0" priority="7">
      <formula>OR(O5="B",O5="C")</formula>
    </cfRule>
  </conditionalFormatting>
  <conditionalFormatting sqref="O5:O46">
    <cfRule type="expression" dxfId="1" priority="8">
      <formula>O5="A"</formula>
    </cfRule>
  </conditionalFormatting>
  <conditionalFormatting sqref="P5:P46">
    <cfRule type="expression" dxfId="0" priority="9">
      <formula>P5="M"</formula>
    </cfRule>
  </conditionalFormatting>
  <conditionalFormatting sqref="P5:P46">
    <cfRule type="expression" dxfId="1" priority="10">
      <formula>P5="B"</formula>
    </cfRule>
  </conditionalFormatting>
  <conditionalFormatting sqref="Q5:Q46">
    <cfRule type="expression" dxfId="0" priority="11">
      <formula>OR(Q5="A",Q5="C",Q5="D")</formula>
    </cfRule>
  </conditionalFormatting>
  <conditionalFormatting sqref="Q5:Q46">
    <cfRule type="expression" dxfId="1" priority="12">
      <formula>Q5="B"</formula>
    </cfRule>
  </conditionalFormatting>
  <conditionalFormatting sqref="R5:R46">
    <cfRule type="expression" dxfId="0" priority="13">
      <formula>OR(R5="A",R5="B",R5="D",R5="E")</formula>
    </cfRule>
  </conditionalFormatting>
  <conditionalFormatting sqref="R5:R46">
    <cfRule type="expression" dxfId="1" priority="14">
      <formula>R5="C"</formula>
    </cfRule>
  </conditionalFormatting>
  <conditionalFormatting sqref="M1:M1002">
    <cfRule type="cellIs" dxfId="0" priority="15" operator="equal">
      <formula>"D"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71"/>
    <col customWidth="1" min="3" max="3" width="6.71"/>
    <col customWidth="1" min="4" max="4" width="9.57"/>
    <col customWidth="1" min="5" max="5" width="4.0"/>
    <col customWidth="1" min="6" max="7" width="4.86"/>
    <col customWidth="1" min="8" max="13" width="3.71"/>
    <col customWidth="1" min="14" max="18" width="4.86"/>
    <col customWidth="1" min="19" max="19" width="8.29"/>
    <col customWidth="1" min="20" max="26" width="10.71"/>
  </cols>
  <sheetData>
    <row r="1" hidden="1">
      <c r="H1" s="1" t="s">
        <v>0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2</v>
      </c>
      <c r="P1" s="1" t="s">
        <v>1</v>
      </c>
      <c r="Q1" s="1" t="s">
        <v>1</v>
      </c>
      <c r="R1" s="1" t="s">
        <v>0</v>
      </c>
    </row>
    <row r="3" ht="15.0" customHeight="1">
      <c r="H3" s="2" t="s">
        <v>3</v>
      </c>
      <c r="I3" s="3"/>
      <c r="J3" s="3"/>
      <c r="K3" s="3"/>
      <c r="L3" s="3"/>
      <c r="M3" s="3"/>
      <c r="N3" s="3"/>
      <c r="O3" s="3"/>
      <c r="P3" s="3"/>
      <c r="Q3" s="3"/>
      <c r="R3" s="5"/>
    </row>
    <row r="4" ht="15.0" customHeight="1">
      <c r="A4" s="2" t="s">
        <v>4</v>
      </c>
      <c r="B4" s="3"/>
      <c r="C4" s="3"/>
      <c r="D4" s="5"/>
      <c r="E4" s="7" t="s">
        <v>5</v>
      </c>
      <c r="F4" s="7" t="s">
        <v>6</v>
      </c>
      <c r="G4" s="7" t="s">
        <v>7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20</v>
      </c>
      <c r="S4" s="7" t="s">
        <v>21</v>
      </c>
    </row>
    <row r="5" ht="15.0" customHeight="1">
      <c r="A5" s="10" t="s">
        <v>22</v>
      </c>
      <c r="B5" s="3"/>
      <c r="C5" s="3"/>
      <c r="D5" s="5"/>
      <c r="E5" s="13" t="s">
        <v>26</v>
      </c>
      <c r="F5" s="13" t="s">
        <v>27</v>
      </c>
      <c r="G5" s="13" t="s">
        <v>28</v>
      </c>
      <c r="H5" s="13" t="s">
        <v>2</v>
      </c>
      <c r="I5" s="13" t="s">
        <v>0</v>
      </c>
      <c r="J5" s="16" t="s">
        <v>0</v>
      </c>
      <c r="K5" s="13" t="s">
        <v>2</v>
      </c>
      <c r="L5" s="13" t="s">
        <v>1</v>
      </c>
      <c r="M5" s="16" t="s">
        <v>1</v>
      </c>
      <c r="N5" s="13" t="s">
        <v>1</v>
      </c>
      <c r="O5" s="13" t="s">
        <v>30</v>
      </c>
      <c r="P5" s="13" t="s">
        <v>30</v>
      </c>
      <c r="Q5" s="13" t="s">
        <v>30</v>
      </c>
      <c r="R5" s="13" t="s">
        <v>30</v>
      </c>
      <c r="S5" s="30">
        <f t="array" ref="S5">ROUND(SUMPRODUCT(--(UPPER(TRIM(H5:R5))=UPPER(TRIM($H$1:$R$1))))*(10/11),2)</f>
        <v>4.55</v>
      </c>
      <c r="T5" s="31"/>
      <c r="U5" s="32">
        <f>IFERROR(__xludf.DUMMYFUNCTION("COUNTUNIQUE(A5:D46)"),42.0)</f>
        <v>42</v>
      </c>
      <c r="V5" s="34" t="s">
        <v>47</v>
      </c>
    </row>
    <row r="6">
      <c r="A6" s="35" t="s">
        <v>34</v>
      </c>
      <c r="B6" s="3"/>
      <c r="C6" s="3"/>
      <c r="D6" s="5"/>
      <c r="E6" s="13" t="s">
        <v>27</v>
      </c>
      <c r="F6" s="13" t="s">
        <v>28</v>
      </c>
      <c r="G6" s="13" t="s">
        <v>28</v>
      </c>
      <c r="H6" s="13" t="s">
        <v>2</v>
      </c>
      <c r="I6" s="13" t="s">
        <v>2</v>
      </c>
      <c r="J6" s="13" t="s">
        <v>0</v>
      </c>
      <c r="K6" s="13" t="s">
        <v>2</v>
      </c>
      <c r="L6" s="16" t="s">
        <v>1</v>
      </c>
      <c r="M6" s="13" t="s">
        <v>2</v>
      </c>
      <c r="N6" s="13" t="s">
        <v>1</v>
      </c>
      <c r="O6" s="16" t="s">
        <v>2</v>
      </c>
      <c r="P6" s="13" t="s">
        <v>1</v>
      </c>
      <c r="Q6" s="13" t="s">
        <v>0</v>
      </c>
      <c r="R6" s="13" t="s">
        <v>2</v>
      </c>
      <c r="S6" s="30">
        <f t="array" ref="S6">ROUND(SUMPRODUCT(--(UPPER(TRIM(H6:R6))=UPPER(TRIM($H$1:$R$1))))*(10/11),2)</f>
        <v>4.55</v>
      </c>
      <c r="T6" s="31"/>
      <c r="U6" s="34">
        <v>31.0</v>
      </c>
      <c r="V6" s="34" t="s">
        <v>57</v>
      </c>
    </row>
    <row r="7">
      <c r="A7" s="10" t="s">
        <v>36</v>
      </c>
      <c r="B7" s="3"/>
      <c r="C7" s="3"/>
      <c r="D7" s="5"/>
      <c r="E7" s="13" t="s">
        <v>30</v>
      </c>
      <c r="F7" s="13" t="s">
        <v>30</v>
      </c>
      <c r="G7" s="13" t="s">
        <v>30</v>
      </c>
      <c r="H7" s="13" t="s">
        <v>30</v>
      </c>
      <c r="I7" s="13" t="s">
        <v>30</v>
      </c>
      <c r="J7" s="13" t="s">
        <v>30</v>
      </c>
      <c r="K7" s="13" t="s">
        <v>30</v>
      </c>
      <c r="L7" s="13" t="s">
        <v>30</v>
      </c>
      <c r="M7" s="13" t="s">
        <v>30</v>
      </c>
      <c r="N7" s="13" t="s">
        <v>30</v>
      </c>
      <c r="O7" s="13" t="s">
        <v>30</v>
      </c>
      <c r="P7" s="13" t="s">
        <v>30</v>
      </c>
      <c r="Q7" s="13" t="s">
        <v>30</v>
      </c>
      <c r="R7" s="13" t="s">
        <v>30</v>
      </c>
      <c r="S7" s="30">
        <f t="array" ref="S7">ROUND(SUMPRODUCT(--(UPPER(TRIM(H7:R7))=UPPER(TRIM($H$1:$R$1))))*(10/11),2)</f>
        <v>0</v>
      </c>
      <c r="U7" s="37"/>
    </row>
    <row r="8">
      <c r="A8" s="35" t="s">
        <v>38</v>
      </c>
      <c r="B8" s="3"/>
      <c r="C8" s="3"/>
      <c r="D8" s="5"/>
      <c r="E8" s="13" t="s">
        <v>30</v>
      </c>
      <c r="F8" s="13" t="s">
        <v>30</v>
      </c>
      <c r="G8" s="13" t="s">
        <v>30</v>
      </c>
      <c r="H8" s="13" t="s">
        <v>30</v>
      </c>
      <c r="I8" s="13" t="s">
        <v>30</v>
      </c>
      <c r="J8" s="13" t="s">
        <v>30</v>
      </c>
      <c r="K8" s="13" t="s">
        <v>30</v>
      </c>
      <c r="L8" s="13" t="s">
        <v>30</v>
      </c>
      <c r="M8" s="13" t="s">
        <v>30</v>
      </c>
      <c r="N8" s="13" t="s">
        <v>30</v>
      </c>
      <c r="O8" s="13" t="s">
        <v>30</v>
      </c>
      <c r="P8" s="13" t="s">
        <v>30</v>
      </c>
      <c r="Q8" s="13" t="s">
        <v>30</v>
      </c>
      <c r="R8" s="13" t="s">
        <v>30</v>
      </c>
      <c r="S8" s="30">
        <f t="array" ref="S8">ROUND(SUMPRODUCT(--(UPPER(TRIM(H8:R8))=UPPER(TRIM($H$1:$R$1))))*(10/11),2)</f>
        <v>0</v>
      </c>
    </row>
    <row r="9">
      <c r="A9" s="10" t="s">
        <v>40</v>
      </c>
      <c r="B9" s="3"/>
      <c r="C9" s="3"/>
      <c r="D9" s="5"/>
      <c r="E9" s="13" t="s">
        <v>82</v>
      </c>
      <c r="F9" s="13" t="s">
        <v>27</v>
      </c>
      <c r="G9" s="13" t="s">
        <v>27</v>
      </c>
      <c r="H9" s="13" t="s">
        <v>2</v>
      </c>
      <c r="I9" s="13" t="s">
        <v>2</v>
      </c>
      <c r="J9" s="16" t="s">
        <v>0</v>
      </c>
      <c r="K9" s="16" t="s">
        <v>1</v>
      </c>
      <c r="L9" s="16" t="s">
        <v>1</v>
      </c>
      <c r="M9" s="13" t="s">
        <v>32</v>
      </c>
      <c r="N9" s="13" t="s">
        <v>1</v>
      </c>
      <c r="O9" s="16" t="s">
        <v>2</v>
      </c>
      <c r="P9" s="13" t="s">
        <v>1</v>
      </c>
      <c r="Q9" s="16" t="s">
        <v>1</v>
      </c>
      <c r="R9" s="16" t="s">
        <v>0</v>
      </c>
      <c r="S9" s="30">
        <f t="array" ref="S9">ROUND(SUMPRODUCT(--(UPPER(TRIM(H9:R9))=UPPER(TRIM($H$1:$R$1))))*(10/11),2)</f>
        <v>7.27</v>
      </c>
      <c r="T9" s="31"/>
    </row>
    <row r="10">
      <c r="A10" s="35" t="s">
        <v>42</v>
      </c>
      <c r="B10" s="3"/>
      <c r="C10" s="3"/>
      <c r="D10" s="5"/>
      <c r="E10" s="13" t="s">
        <v>27</v>
      </c>
      <c r="F10" s="13" t="s">
        <v>29</v>
      </c>
      <c r="G10" s="16" t="s">
        <v>28</v>
      </c>
      <c r="H10" s="13" t="s">
        <v>2</v>
      </c>
      <c r="I10" s="16" t="s">
        <v>0</v>
      </c>
      <c r="J10" s="16" t="s">
        <v>0</v>
      </c>
      <c r="K10" s="16" t="s">
        <v>1</v>
      </c>
      <c r="L10" s="13" t="s">
        <v>0</v>
      </c>
      <c r="M10" s="13" t="s">
        <v>32</v>
      </c>
      <c r="N10" s="16" t="s">
        <v>1</v>
      </c>
      <c r="O10" s="16" t="s">
        <v>2</v>
      </c>
      <c r="P10" s="16" t="s">
        <v>1</v>
      </c>
      <c r="Q10" s="13" t="s">
        <v>0</v>
      </c>
      <c r="R10" s="13" t="s">
        <v>0</v>
      </c>
      <c r="S10" s="30">
        <f t="array" ref="S10">ROUND(SUMPRODUCT(--(UPPER(TRIM(H10:R10))=UPPER(TRIM($H$1:$R$1))))*(10/11),2)</f>
        <v>6.36</v>
      </c>
      <c r="T10" s="31"/>
    </row>
    <row r="11">
      <c r="A11" s="10" t="s">
        <v>44</v>
      </c>
      <c r="B11" s="3"/>
      <c r="C11" s="3"/>
      <c r="D11" s="5"/>
      <c r="E11" s="13" t="s">
        <v>28</v>
      </c>
      <c r="F11" s="13" t="s">
        <v>27</v>
      </c>
      <c r="G11" s="13" t="s">
        <v>28</v>
      </c>
      <c r="H11" s="13" t="s">
        <v>1</v>
      </c>
      <c r="I11" s="13" t="s">
        <v>2</v>
      </c>
      <c r="J11" s="13" t="s">
        <v>0</v>
      </c>
      <c r="K11" s="13" t="s">
        <v>2</v>
      </c>
      <c r="L11" s="13" t="s">
        <v>1</v>
      </c>
      <c r="M11" s="13" t="s">
        <v>0</v>
      </c>
      <c r="N11" s="13" t="s">
        <v>2</v>
      </c>
      <c r="O11" s="13" t="s">
        <v>2</v>
      </c>
      <c r="P11" s="13" t="s">
        <v>1</v>
      </c>
      <c r="Q11" s="13" t="s">
        <v>0</v>
      </c>
      <c r="R11" s="13" t="s">
        <v>32</v>
      </c>
      <c r="S11" s="30">
        <f t="array" ref="S11">ROUND(SUMPRODUCT(--(UPPER(TRIM(H11:R11))=UPPER(TRIM($H$1:$R$1))))*(10/11),2)</f>
        <v>3.64</v>
      </c>
      <c r="T11" s="31"/>
    </row>
    <row r="12">
      <c r="A12" s="35" t="s">
        <v>46</v>
      </c>
      <c r="B12" s="3"/>
      <c r="C12" s="3"/>
      <c r="D12" s="5"/>
      <c r="E12" s="16" t="s">
        <v>28</v>
      </c>
      <c r="F12" s="16" t="s">
        <v>27</v>
      </c>
      <c r="G12" s="16" t="s">
        <v>27</v>
      </c>
      <c r="H12" s="16" t="s">
        <v>1</v>
      </c>
      <c r="I12" s="16" t="s">
        <v>1</v>
      </c>
      <c r="J12" s="16" t="s">
        <v>0</v>
      </c>
      <c r="K12" s="16" t="s">
        <v>1</v>
      </c>
      <c r="L12" s="16" t="s">
        <v>1</v>
      </c>
      <c r="M12" s="16" t="s">
        <v>1</v>
      </c>
      <c r="N12" s="16" t="s">
        <v>1</v>
      </c>
      <c r="O12" s="16" t="s">
        <v>2</v>
      </c>
      <c r="P12" s="16" t="s">
        <v>1</v>
      </c>
      <c r="Q12" s="16" t="s">
        <v>1</v>
      </c>
      <c r="R12" s="16" t="s">
        <v>0</v>
      </c>
      <c r="S12" s="30">
        <f t="array" ref="S12">ROUND(SUMPRODUCT(--(UPPER(TRIM(H12:R12))=UPPER(TRIM($H$1:$R$1))))*(10/11),2)</f>
        <v>8.18</v>
      </c>
      <c r="T12" s="31"/>
    </row>
    <row r="13">
      <c r="A13" s="10" t="s">
        <v>49</v>
      </c>
      <c r="B13" s="3"/>
      <c r="C13" s="3"/>
      <c r="D13" s="5"/>
      <c r="E13" s="13" t="s">
        <v>28</v>
      </c>
      <c r="F13" s="13" t="s">
        <v>28</v>
      </c>
      <c r="G13" s="13" t="s">
        <v>28</v>
      </c>
      <c r="H13" s="13" t="s">
        <v>1</v>
      </c>
      <c r="I13" s="13" t="s">
        <v>71</v>
      </c>
      <c r="J13" s="13" t="s">
        <v>0</v>
      </c>
      <c r="K13" s="13" t="s">
        <v>2</v>
      </c>
      <c r="L13" s="13" t="s">
        <v>2</v>
      </c>
      <c r="M13" s="16" t="s">
        <v>1</v>
      </c>
      <c r="N13" s="13" t="s">
        <v>1</v>
      </c>
      <c r="O13" s="16" t="s">
        <v>2</v>
      </c>
      <c r="P13" s="13" t="s">
        <v>1</v>
      </c>
      <c r="Q13" s="16" t="s">
        <v>1</v>
      </c>
      <c r="R13" s="13" t="s">
        <v>1</v>
      </c>
      <c r="S13" s="30">
        <f t="array" ref="S13">ROUND(SUMPRODUCT(--(UPPER(TRIM(H13:R13))=UPPER(TRIM($H$1:$R$1))))*(10/11),2)</f>
        <v>5.45</v>
      </c>
      <c r="T13" s="31"/>
    </row>
    <row r="14">
      <c r="A14" s="35" t="s">
        <v>51</v>
      </c>
      <c r="B14" s="3"/>
      <c r="C14" s="3"/>
      <c r="D14" s="5"/>
      <c r="E14" s="13" t="s">
        <v>28</v>
      </c>
      <c r="F14" s="13" t="s">
        <v>29</v>
      </c>
      <c r="G14" s="13" t="s">
        <v>28</v>
      </c>
      <c r="H14" s="16" t="s">
        <v>71</v>
      </c>
      <c r="I14" s="16" t="s">
        <v>71</v>
      </c>
      <c r="J14" s="16" t="s">
        <v>0</v>
      </c>
      <c r="K14" s="13" t="s">
        <v>2</v>
      </c>
      <c r="L14" s="16" t="s">
        <v>1</v>
      </c>
      <c r="M14" s="13" t="s">
        <v>32</v>
      </c>
      <c r="N14" s="16" t="s">
        <v>1</v>
      </c>
      <c r="O14" s="13" t="s">
        <v>2</v>
      </c>
      <c r="P14" s="13" t="s">
        <v>1</v>
      </c>
      <c r="Q14" s="16" t="s">
        <v>1</v>
      </c>
      <c r="R14" s="13" t="s">
        <v>32</v>
      </c>
      <c r="S14" s="30">
        <f t="array" ref="S14">ROUND(SUMPRODUCT(--(UPPER(TRIM(H14:R14))=UPPER(TRIM($H$1:$R$1))))*(10/11),2)</f>
        <v>5.45</v>
      </c>
      <c r="T14" s="31"/>
    </row>
    <row r="15">
      <c r="A15" s="10" t="s">
        <v>53</v>
      </c>
      <c r="B15" s="3"/>
      <c r="C15" s="3"/>
      <c r="D15" s="5"/>
      <c r="E15" s="13" t="s">
        <v>28</v>
      </c>
      <c r="F15" s="13" t="s">
        <v>28</v>
      </c>
      <c r="G15" s="13" t="s">
        <v>28</v>
      </c>
      <c r="H15" s="13" t="s">
        <v>2</v>
      </c>
      <c r="I15" s="13" t="s">
        <v>1</v>
      </c>
      <c r="J15" s="16" t="s">
        <v>0</v>
      </c>
      <c r="K15" s="13" t="s">
        <v>2</v>
      </c>
      <c r="L15" s="16" t="s">
        <v>1</v>
      </c>
      <c r="M15" s="16" t="s">
        <v>1</v>
      </c>
      <c r="N15" s="13" t="s">
        <v>1</v>
      </c>
      <c r="O15" s="16" t="s">
        <v>2</v>
      </c>
      <c r="P15" s="13" t="s">
        <v>30</v>
      </c>
      <c r="Q15" s="16" t="s">
        <v>1</v>
      </c>
      <c r="R15" s="16" t="s">
        <v>2</v>
      </c>
      <c r="S15" s="30">
        <f t="array" ref="S15">ROUND(SUMPRODUCT(--(UPPER(TRIM(H15:R15))=UPPER(TRIM($H$1:$R$1))))*(10/11),2)</f>
        <v>5.45</v>
      </c>
      <c r="T15" s="31"/>
    </row>
    <row r="16">
      <c r="A16" s="35" t="s">
        <v>55</v>
      </c>
      <c r="B16" s="3"/>
      <c r="C16" s="3"/>
      <c r="D16" s="5"/>
      <c r="E16" s="13" t="s">
        <v>28</v>
      </c>
      <c r="F16" s="16" t="s">
        <v>27</v>
      </c>
      <c r="G16" s="16" t="s">
        <v>28</v>
      </c>
      <c r="H16" s="13" t="s">
        <v>2</v>
      </c>
      <c r="I16" s="16" t="s">
        <v>0</v>
      </c>
      <c r="J16" s="16" t="s">
        <v>2</v>
      </c>
      <c r="K16" s="16" t="s">
        <v>2</v>
      </c>
      <c r="L16" s="13" t="s">
        <v>2</v>
      </c>
      <c r="M16" s="16" t="s">
        <v>0</v>
      </c>
      <c r="N16" s="13" t="s">
        <v>2</v>
      </c>
      <c r="O16" s="16" t="s">
        <v>2</v>
      </c>
      <c r="P16" s="13" t="s">
        <v>1</v>
      </c>
      <c r="Q16" s="16" t="s">
        <v>1</v>
      </c>
      <c r="R16" s="13" t="s">
        <v>1</v>
      </c>
      <c r="S16" s="30">
        <f t="array" ref="S16">ROUND(SUMPRODUCT(--(UPPER(TRIM(H16:R16))=UPPER(TRIM($H$1:$R$1))))*(10/11),2)</f>
        <v>3.64</v>
      </c>
      <c r="T16" s="31"/>
    </row>
    <row r="17">
      <c r="A17" s="10" t="s">
        <v>59</v>
      </c>
      <c r="B17" s="3"/>
      <c r="C17" s="3"/>
      <c r="D17" s="5"/>
      <c r="E17" s="13" t="s">
        <v>27</v>
      </c>
      <c r="F17" s="13" t="s">
        <v>29</v>
      </c>
      <c r="G17" s="13" t="s">
        <v>27</v>
      </c>
      <c r="H17" s="16" t="s">
        <v>0</v>
      </c>
      <c r="I17" s="13" t="s">
        <v>0</v>
      </c>
      <c r="J17" s="16" t="s">
        <v>0</v>
      </c>
      <c r="K17" s="13" t="s">
        <v>0</v>
      </c>
      <c r="L17" s="16" t="s">
        <v>1</v>
      </c>
      <c r="M17" s="13" t="s">
        <v>32</v>
      </c>
      <c r="N17" s="16" t="s">
        <v>1</v>
      </c>
      <c r="O17" s="16" t="s">
        <v>2</v>
      </c>
      <c r="P17" s="16" t="s">
        <v>1</v>
      </c>
      <c r="Q17" s="16" t="s">
        <v>1</v>
      </c>
      <c r="R17" s="13" t="s">
        <v>32</v>
      </c>
      <c r="S17" s="30">
        <f t="array" ref="S17">ROUND(SUMPRODUCT(--(UPPER(TRIM(H17:R17))=UPPER(TRIM($H$1:$R$1))))*(10/11),2)</f>
        <v>7.27</v>
      </c>
      <c r="T17" s="31"/>
    </row>
    <row r="18">
      <c r="A18" s="35" t="s">
        <v>61</v>
      </c>
      <c r="B18" s="3"/>
      <c r="C18" s="3"/>
      <c r="D18" s="5"/>
      <c r="E18" s="16" t="s">
        <v>28</v>
      </c>
      <c r="F18" s="16" t="s">
        <v>27</v>
      </c>
      <c r="G18" s="13" t="s">
        <v>28</v>
      </c>
      <c r="H18" s="13" t="s">
        <v>1</v>
      </c>
      <c r="I18" s="13" t="s">
        <v>0</v>
      </c>
      <c r="J18" s="16" t="s">
        <v>0</v>
      </c>
      <c r="K18" s="13" t="s">
        <v>2</v>
      </c>
      <c r="L18" s="13" t="s">
        <v>1</v>
      </c>
      <c r="M18" s="13" t="s">
        <v>32</v>
      </c>
      <c r="N18" s="16" t="s">
        <v>1</v>
      </c>
      <c r="O18" s="13" t="s">
        <v>30</v>
      </c>
      <c r="P18" s="13" t="s">
        <v>30</v>
      </c>
      <c r="Q18" s="13" t="s">
        <v>30</v>
      </c>
      <c r="R18" s="16" t="s">
        <v>2</v>
      </c>
      <c r="S18" s="30">
        <f t="array" ref="S18">ROUND(SUMPRODUCT(--(UPPER(TRIM(H18:R18))=UPPER(TRIM($H$1:$R$1))))*(10/11),2)</f>
        <v>3.64</v>
      </c>
      <c r="T18" s="31"/>
    </row>
    <row r="19">
      <c r="A19" s="10" t="s">
        <v>63</v>
      </c>
      <c r="B19" s="3"/>
      <c r="C19" s="3"/>
      <c r="D19" s="5"/>
      <c r="E19" s="13" t="s">
        <v>27</v>
      </c>
      <c r="F19" s="13" t="s">
        <v>29</v>
      </c>
      <c r="G19" s="13" t="s">
        <v>27</v>
      </c>
      <c r="H19" s="13" t="s">
        <v>0</v>
      </c>
      <c r="I19" s="13" t="s">
        <v>0</v>
      </c>
      <c r="J19" s="16" t="s">
        <v>0</v>
      </c>
      <c r="K19" s="16" t="s">
        <v>1</v>
      </c>
      <c r="L19" s="16" t="s">
        <v>1</v>
      </c>
      <c r="M19" s="13" t="s">
        <v>32</v>
      </c>
      <c r="N19" s="13" t="s">
        <v>1</v>
      </c>
      <c r="O19" s="16" t="s">
        <v>2</v>
      </c>
      <c r="P19" s="16" t="s">
        <v>1</v>
      </c>
      <c r="Q19" s="13" t="s">
        <v>1</v>
      </c>
      <c r="R19" s="13" t="s">
        <v>32</v>
      </c>
      <c r="S19" s="30">
        <f t="array" ref="S19">ROUND(SUMPRODUCT(--(UPPER(TRIM(H19:R19))=UPPER(TRIM($H$1:$R$1))))*(10/11),2)</f>
        <v>8.18</v>
      </c>
      <c r="T19" s="31"/>
    </row>
    <row r="20">
      <c r="A20" s="35" t="s">
        <v>65</v>
      </c>
      <c r="B20" s="3"/>
      <c r="C20" s="3"/>
      <c r="D20" s="5"/>
      <c r="E20" s="13" t="s">
        <v>30</v>
      </c>
      <c r="F20" s="13" t="s">
        <v>30</v>
      </c>
      <c r="G20" s="13" t="s">
        <v>30</v>
      </c>
      <c r="H20" s="43" t="s">
        <v>30</v>
      </c>
      <c r="I20" s="43" t="s">
        <v>30</v>
      </c>
      <c r="J20" s="43" t="s">
        <v>30</v>
      </c>
      <c r="K20" s="43" t="s">
        <v>30</v>
      </c>
      <c r="L20" s="43" t="s">
        <v>30</v>
      </c>
      <c r="M20" s="43" t="s">
        <v>30</v>
      </c>
      <c r="N20" s="43" t="s">
        <v>30</v>
      </c>
      <c r="O20" s="43" t="s">
        <v>30</v>
      </c>
      <c r="P20" s="43" t="s">
        <v>30</v>
      </c>
      <c r="Q20" s="43" t="s">
        <v>30</v>
      </c>
      <c r="R20" s="43" t="s">
        <v>30</v>
      </c>
      <c r="S20" s="30">
        <f t="array" ref="S20">ROUND(SUMPRODUCT(--(UPPER(TRIM(H20:R20))=UPPER(TRIM($H$1:$R$1))))*(10/11),2)</f>
        <v>0</v>
      </c>
    </row>
    <row r="21" ht="15.75" customHeight="1">
      <c r="A21" s="10" t="s">
        <v>67</v>
      </c>
      <c r="B21" s="3"/>
      <c r="C21" s="3"/>
      <c r="D21" s="5"/>
      <c r="E21" s="13" t="s">
        <v>28</v>
      </c>
      <c r="F21" s="13" t="s">
        <v>29</v>
      </c>
      <c r="G21" s="13" t="s">
        <v>27</v>
      </c>
      <c r="H21" s="13" t="s">
        <v>0</v>
      </c>
      <c r="I21" s="13" t="s">
        <v>0</v>
      </c>
      <c r="J21" s="13" t="s">
        <v>0</v>
      </c>
      <c r="K21" s="13" t="s">
        <v>2</v>
      </c>
      <c r="L21" s="13" t="s">
        <v>1</v>
      </c>
      <c r="M21" s="13" t="s">
        <v>1</v>
      </c>
      <c r="N21" s="13" t="s">
        <v>1</v>
      </c>
      <c r="O21" s="13" t="s">
        <v>2</v>
      </c>
      <c r="P21" s="13" t="s">
        <v>1</v>
      </c>
      <c r="Q21" s="13" t="s">
        <v>1</v>
      </c>
      <c r="R21" s="13" t="s">
        <v>0</v>
      </c>
      <c r="S21" s="30">
        <f t="array" ref="S21">ROUND(SUMPRODUCT(--(UPPER(TRIM(H21:R21))=UPPER(TRIM($H$1:$R$1))))*(10/11),2)</f>
        <v>9.09</v>
      </c>
      <c r="T21" s="31"/>
    </row>
    <row r="22" ht="15.75" customHeight="1">
      <c r="A22" s="35" t="s">
        <v>69</v>
      </c>
      <c r="B22" s="3"/>
      <c r="C22" s="3"/>
      <c r="D22" s="5"/>
      <c r="E22" s="16" t="s">
        <v>28</v>
      </c>
      <c r="F22" s="13" t="s">
        <v>28</v>
      </c>
      <c r="G22" s="13" t="s">
        <v>28</v>
      </c>
      <c r="H22" s="13" t="s">
        <v>71</v>
      </c>
      <c r="I22" s="13" t="s">
        <v>71</v>
      </c>
      <c r="J22" s="13" t="s">
        <v>0</v>
      </c>
      <c r="K22" s="13" t="s">
        <v>1</v>
      </c>
      <c r="L22" s="13" t="s">
        <v>1</v>
      </c>
      <c r="M22" s="16" t="s">
        <v>1</v>
      </c>
      <c r="N22" s="16" t="s">
        <v>1</v>
      </c>
      <c r="O22" s="16" t="s">
        <v>2</v>
      </c>
      <c r="P22" s="13" t="s">
        <v>1</v>
      </c>
      <c r="Q22" s="16" t="s">
        <v>1</v>
      </c>
      <c r="R22" s="13" t="s">
        <v>1</v>
      </c>
      <c r="S22" s="30">
        <f t="array" ref="S22">ROUND(SUMPRODUCT(--(UPPER(TRIM(H22:R22))=UPPER(TRIM($H$1:$R$1))))*(10/11),2)</f>
        <v>7.27</v>
      </c>
      <c r="T22" s="31"/>
    </row>
    <row r="23" ht="15.75" customHeight="1">
      <c r="A23" s="10" t="s">
        <v>72</v>
      </c>
      <c r="B23" s="3"/>
      <c r="C23" s="3"/>
      <c r="D23" s="5"/>
      <c r="E23" s="13" t="s">
        <v>28</v>
      </c>
      <c r="F23" s="13" t="s">
        <v>29</v>
      </c>
      <c r="G23" s="13" t="s">
        <v>27</v>
      </c>
      <c r="H23" s="13" t="s">
        <v>1</v>
      </c>
      <c r="I23" s="13" t="s">
        <v>1</v>
      </c>
      <c r="J23" s="16" t="s">
        <v>0</v>
      </c>
      <c r="K23" s="13" t="s">
        <v>2</v>
      </c>
      <c r="L23" s="13" t="s">
        <v>1</v>
      </c>
      <c r="M23" s="13" t="s">
        <v>1</v>
      </c>
      <c r="N23" s="16" t="s">
        <v>1</v>
      </c>
      <c r="O23" s="13" t="s">
        <v>2</v>
      </c>
      <c r="P23" s="16" t="s">
        <v>124</v>
      </c>
      <c r="Q23" s="13" t="s">
        <v>32</v>
      </c>
      <c r="R23" s="13" t="s">
        <v>1</v>
      </c>
      <c r="S23" s="30">
        <f t="array" ref="S23">ROUND(SUMPRODUCT(--(UPPER(TRIM(H23:R23))=UPPER(TRIM($H$1:$R$1))))*(10/11),2)</f>
        <v>4.55</v>
      </c>
      <c r="T23" s="31"/>
    </row>
    <row r="24" ht="15.75" customHeight="1">
      <c r="A24" s="35" t="s">
        <v>74</v>
      </c>
      <c r="B24" s="3"/>
      <c r="C24" s="3"/>
      <c r="D24" s="5"/>
      <c r="E24" s="16" t="s">
        <v>82</v>
      </c>
      <c r="F24" s="16" t="s">
        <v>27</v>
      </c>
      <c r="G24" s="16" t="s">
        <v>27</v>
      </c>
      <c r="H24" s="13" t="s">
        <v>0</v>
      </c>
      <c r="I24" s="16" t="s">
        <v>71</v>
      </c>
      <c r="J24" s="16" t="s">
        <v>0</v>
      </c>
      <c r="K24" s="16" t="s">
        <v>1</v>
      </c>
      <c r="L24" s="16" t="s">
        <v>1</v>
      </c>
      <c r="M24" s="13" t="s">
        <v>0</v>
      </c>
      <c r="N24" s="16" t="s">
        <v>1</v>
      </c>
      <c r="O24" s="16" t="s">
        <v>2</v>
      </c>
      <c r="P24" s="16" t="s">
        <v>1</v>
      </c>
      <c r="Q24" s="16" t="s">
        <v>1</v>
      </c>
      <c r="R24" s="13" t="s">
        <v>0</v>
      </c>
      <c r="S24" s="30">
        <f t="array" ref="S24">ROUND(SUMPRODUCT(--(UPPER(TRIM(H24:R24))=UPPER(TRIM($H$1:$R$1))))*(10/11),2)</f>
        <v>8.18</v>
      </c>
      <c r="T24" s="31"/>
    </row>
    <row r="25" ht="15.75" customHeight="1">
      <c r="A25" s="10" t="s">
        <v>76</v>
      </c>
      <c r="B25" s="3"/>
      <c r="C25" s="3"/>
      <c r="D25" s="5"/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30">
        <f t="array" ref="S25">ROUND(SUMPRODUCT(--(UPPER(TRIM(H25:R25))=UPPER(TRIM($H$1:$R$1))))*(10/11),2)</f>
        <v>0</v>
      </c>
    </row>
    <row r="26" ht="15.75" customHeight="1">
      <c r="A26" s="35" t="s">
        <v>78</v>
      </c>
      <c r="B26" s="3"/>
      <c r="C26" s="3"/>
      <c r="D26" s="5"/>
      <c r="E26" s="13" t="s">
        <v>28</v>
      </c>
      <c r="F26" s="13" t="s">
        <v>29</v>
      </c>
      <c r="G26" s="13" t="s">
        <v>29</v>
      </c>
      <c r="H26" s="36" t="s">
        <v>0</v>
      </c>
      <c r="I26" s="36" t="s">
        <v>0</v>
      </c>
      <c r="J26" s="36" t="s">
        <v>0</v>
      </c>
      <c r="K26" s="36" t="s">
        <v>1</v>
      </c>
      <c r="L26" s="36" t="s">
        <v>1</v>
      </c>
      <c r="M26" s="36" t="s">
        <v>1</v>
      </c>
      <c r="N26" s="36" t="s">
        <v>1</v>
      </c>
      <c r="O26" s="36" t="s">
        <v>2</v>
      </c>
      <c r="P26" s="36" t="s">
        <v>1</v>
      </c>
      <c r="Q26" s="36" t="s">
        <v>1</v>
      </c>
      <c r="R26" s="36" t="s">
        <v>0</v>
      </c>
      <c r="S26" s="30">
        <f t="array" ref="S26">ROUND(SUMPRODUCT(--(UPPER(TRIM(H26:R26))=UPPER(TRIM($H$1:$R$1))))*(10/11),2)</f>
        <v>10</v>
      </c>
      <c r="T26" s="31"/>
    </row>
    <row r="27" ht="15.75" customHeight="1">
      <c r="A27" s="10" t="s">
        <v>80</v>
      </c>
      <c r="B27" s="3"/>
      <c r="C27" s="3"/>
      <c r="D27" s="5"/>
      <c r="E27" s="16" t="s">
        <v>28</v>
      </c>
      <c r="F27" s="16" t="s">
        <v>27</v>
      </c>
      <c r="G27" s="13" t="s">
        <v>28</v>
      </c>
      <c r="H27" s="16" t="s">
        <v>2</v>
      </c>
      <c r="I27" s="16" t="s">
        <v>0</v>
      </c>
      <c r="J27" s="13" t="s">
        <v>1</v>
      </c>
      <c r="K27" s="13" t="s">
        <v>1</v>
      </c>
      <c r="L27" s="16" t="s">
        <v>1</v>
      </c>
      <c r="M27" s="13" t="s">
        <v>32</v>
      </c>
      <c r="N27" s="16" t="s">
        <v>1</v>
      </c>
      <c r="O27" s="16" t="s">
        <v>2</v>
      </c>
      <c r="P27" s="13" t="s">
        <v>30</v>
      </c>
      <c r="Q27" s="13" t="s">
        <v>1</v>
      </c>
      <c r="R27" s="16" t="s">
        <v>32</v>
      </c>
      <c r="S27" s="30">
        <f t="array" ref="S27">ROUND(SUMPRODUCT(--(UPPER(TRIM(H27:R27))=UPPER(TRIM($H$1:$R$1))))*(10/11),2)</f>
        <v>5.45</v>
      </c>
      <c r="T27" s="31"/>
    </row>
    <row r="28" ht="15.75" customHeight="1">
      <c r="A28" s="35" t="s">
        <v>83</v>
      </c>
      <c r="B28" s="3"/>
      <c r="C28" s="3"/>
      <c r="D28" s="5"/>
      <c r="E28" s="13" t="s">
        <v>82</v>
      </c>
      <c r="F28" s="13" t="s">
        <v>29</v>
      </c>
      <c r="G28" s="13" t="s">
        <v>27</v>
      </c>
      <c r="H28" s="36" t="s">
        <v>1</v>
      </c>
      <c r="I28" s="36" t="s">
        <v>1</v>
      </c>
      <c r="J28" s="36" t="s">
        <v>0</v>
      </c>
      <c r="K28" s="36" t="s">
        <v>1</v>
      </c>
      <c r="L28" s="36" t="s">
        <v>1</v>
      </c>
      <c r="M28" s="36" t="s">
        <v>1</v>
      </c>
      <c r="N28" s="36" t="s">
        <v>1</v>
      </c>
      <c r="O28" s="36" t="s">
        <v>2</v>
      </c>
      <c r="P28" s="36" t="s">
        <v>1</v>
      </c>
      <c r="Q28" s="36" t="s">
        <v>1</v>
      </c>
      <c r="R28" s="36" t="s">
        <v>32</v>
      </c>
      <c r="S28" s="30">
        <f t="array" ref="S28">ROUND(SUMPRODUCT(--(UPPER(TRIM(H28:R28))=UPPER(TRIM($H$1:$R$1))))*(10/11),2)</f>
        <v>7.27</v>
      </c>
      <c r="T28" s="31"/>
    </row>
    <row r="29" ht="15.75" customHeight="1">
      <c r="A29" s="35" t="s">
        <v>85</v>
      </c>
      <c r="B29" s="3"/>
      <c r="C29" s="3"/>
      <c r="D29" s="5"/>
      <c r="E29" s="13" t="s">
        <v>30</v>
      </c>
      <c r="F29" s="13" t="s">
        <v>30</v>
      </c>
      <c r="G29" s="13" t="s">
        <v>30</v>
      </c>
      <c r="H29" s="36" t="s">
        <v>30</v>
      </c>
      <c r="I29" s="36" t="s">
        <v>30</v>
      </c>
      <c r="J29" s="36" t="s">
        <v>30</v>
      </c>
      <c r="K29" s="36" t="s">
        <v>30</v>
      </c>
      <c r="L29" s="36" t="s">
        <v>30</v>
      </c>
      <c r="M29" s="36" t="s">
        <v>30</v>
      </c>
      <c r="N29" s="36" t="s">
        <v>30</v>
      </c>
      <c r="O29" s="36" t="s">
        <v>30</v>
      </c>
      <c r="P29" s="36" t="s">
        <v>30</v>
      </c>
      <c r="Q29" s="36" t="s">
        <v>30</v>
      </c>
      <c r="R29" s="36" t="s">
        <v>30</v>
      </c>
      <c r="S29" s="30">
        <f t="array" ref="S29">ROUND(SUMPRODUCT(--(UPPER(TRIM(H29:R29))=UPPER(TRIM($H$1:$R$1))))*(10/11),2)</f>
        <v>0</v>
      </c>
      <c r="T29" s="31"/>
    </row>
    <row r="30" ht="15.75" customHeight="1">
      <c r="A30" s="10" t="s">
        <v>86</v>
      </c>
      <c r="B30" s="3"/>
      <c r="C30" s="3"/>
      <c r="D30" s="5"/>
      <c r="E30" s="13" t="s">
        <v>28</v>
      </c>
      <c r="F30" s="13" t="s">
        <v>29</v>
      </c>
      <c r="G30" s="13" t="s">
        <v>29</v>
      </c>
      <c r="H30" s="13" t="s">
        <v>2</v>
      </c>
      <c r="I30" s="13" t="s">
        <v>1</v>
      </c>
      <c r="J30" s="16" t="s">
        <v>0</v>
      </c>
      <c r="K30" s="13" t="s">
        <v>1</v>
      </c>
      <c r="L30" s="16" t="s">
        <v>1</v>
      </c>
      <c r="M30" s="13" t="s">
        <v>32</v>
      </c>
      <c r="N30" s="13" t="s">
        <v>1</v>
      </c>
      <c r="O30" s="16" t="s">
        <v>2</v>
      </c>
      <c r="P30" s="16" t="s">
        <v>1</v>
      </c>
      <c r="Q30" s="16" t="s">
        <v>1</v>
      </c>
      <c r="R30" s="13" t="s">
        <v>0</v>
      </c>
      <c r="S30" s="30">
        <f t="array" ref="S30">ROUND(SUMPRODUCT(--(UPPER(TRIM(H30:R30))=UPPER(TRIM($H$1:$R$1))))*(10/11),2)</f>
        <v>7.27</v>
      </c>
      <c r="T30" s="31"/>
    </row>
    <row r="31" ht="15.75" customHeight="1">
      <c r="A31" s="35" t="s">
        <v>88</v>
      </c>
      <c r="B31" s="3"/>
      <c r="C31" s="3"/>
      <c r="D31" s="5"/>
      <c r="E31" s="16" t="s">
        <v>27</v>
      </c>
      <c r="F31" s="13" t="s">
        <v>29</v>
      </c>
      <c r="G31" s="13" t="s">
        <v>29</v>
      </c>
      <c r="H31" s="13" t="s">
        <v>2</v>
      </c>
      <c r="I31" s="13" t="s">
        <v>1</v>
      </c>
      <c r="J31" s="16" t="s">
        <v>0</v>
      </c>
      <c r="K31" s="13" t="s">
        <v>2</v>
      </c>
      <c r="L31" s="16" t="s">
        <v>1</v>
      </c>
      <c r="M31" s="16" t="s">
        <v>1</v>
      </c>
      <c r="N31" s="16" t="s">
        <v>1</v>
      </c>
      <c r="O31" s="13" t="s">
        <v>2</v>
      </c>
      <c r="P31" s="13" t="s">
        <v>1</v>
      </c>
      <c r="Q31" s="16" t="s">
        <v>1</v>
      </c>
      <c r="R31" s="13" t="s">
        <v>32</v>
      </c>
      <c r="S31" s="30">
        <f t="array" ref="S31">ROUND(SUMPRODUCT(--(UPPER(TRIM(H31:R31))=UPPER(TRIM($H$1:$R$1))))*(10/11),2)</f>
        <v>6.36</v>
      </c>
      <c r="T31" s="31"/>
    </row>
    <row r="32" ht="15.75" customHeight="1">
      <c r="A32" s="10" t="s">
        <v>90</v>
      </c>
      <c r="B32" s="3"/>
      <c r="C32" s="3"/>
      <c r="D32" s="5"/>
      <c r="E32" s="13" t="s">
        <v>28</v>
      </c>
      <c r="F32" s="13" t="s">
        <v>28</v>
      </c>
      <c r="G32" s="13" t="s">
        <v>28</v>
      </c>
      <c r="H32" s="13" t="s">
        <v>1</v>
      </c>
      <c r="I32" s="13" t="s">
        <v>0</v>
      </c>
      <c r="J32" s="16" t="s">
        <v>0</v>
      </c>
      <c r="K32" s="13" t="s">
        <v>2</v>
      </c>
      <c r="L32" s="16" t="s">
        <v>0</v>
      </c>
      <c r="M32" s="13" t="s">
        <v>30</v>
      </c>
      <c r="N32" s="16" t="s">
        <v>1</v>
      </c>
      <c r="O32" s="16" t="s">
        <v>2</v>
      </c>
      <c r="P32" s="16" t="s">
        <v>1</v>
      </c>
      <c r="Q32" s="16" t="s">
        <v>1</v>
      </c>
      <c r="R32" s="13" t="s">
        <v>32</v>
      </c>
      <c r="S32" s="30">
        <f t="array" ref="S32">ROUND(SUMPRODUCT(--(UPPER(TRIM(H32:R32))=UPPER(TRIM($H$1:$R$1))))*(10/11),2)</f>
        <v>5.45</v>
      </c>
      <c r="T32" s="31"/>
    </row>
    <row r="33" ht="15.75" customHeight="1">
      <c r="A33" s="35" t="s">
        <v>92</v>
      </c>
      <c r="B33" s="3"/>
      <c r="C33" s="3"/>
      <c r="D33" s="5"/>
      <c r="E33" s="13" t="s">
        <v>26</v>
      </c>
      <c r="F33" s="13" t="s">
        <v>26</v>
      </c>
      <c r="G33" s="16" t="s">
        <v>28</v>
      </c>
      <c r="H33" s="13" t="s">
        <v>30</v>
      </c>
      <c r="I33" s="16" t="s">
        <v>0</v>
      </c>
      <c r="J33" s="16" t="s">
        <v>0</v>
      </c>
      <c r="K33" s="16" t="s">
        <v>2</v>
      </c>
      <c r="L33" s="13" t="s">
        <v>1</v>
      </c>
      <c r="M33" s="13" t="s">
        <v>2</v>
      </c>
      <c r="N33" s="16" t="s">
        <v>1</v>
      </c>
      <c r="O33" s="16" t="s">
        <v>2</v>
      </c>
      <c r="P33" s="13" t="s">
        <v>1</v>
      </c>
      <c r="Q33" s="16" t="s">
        <v>0</v>
      </c>
      <c r="R33" s="13" t="s">
        <v>32</v>
      </c>
      <c r="S33" s="30">
        <f t="array" ref="S33">ROUND(SUMPRODUCT(--(UPPER(TRIM(H33:R33))=UPPER(TRIM($H$1:$R$1))))*(10/11),2)</f>
        <v>5.45</v>
      </c>
      <c r="T33" s="31"/>
    </row>
    <row r="34" ht="15.75" customHeight="1">
      <c r="A34" s="35" t="s">
        <v>94</v>
      </c>
      <c r="B34" s="3"/>
      <c r="C34" s="3"/>
      <c r="D34" s="5"/>
      <c r="E34" s="13" t="s">
        <v>27</v>
      </c>
      <c r="F34" s="13" t="s">
        <v>27</v>
      </c>
      <c r="G34" s="13" t="s">
        <v>29</v>
      </c>
      <c r="H34" s="13" t="s">
        <v>71</v>
      </c>
      <c r="I34" s="13" t="s">
        <v>0</v>
      </c>
      <c r="J34" s="13" t="s">
        <v>0</v>
      </c>
      <c r="K34" s="13" t="s">
        <v>1</v>
      </c>
      <c r="L34" s="13" t="s">
        <v>1</v>
      </c>
      <c r="M34" s="13" t="s">
        <v>1</v>
      </c>
      <c r="N34" s="13" t="s">
        <v>0</v>
      </c>
      <c r="O34" s="13" t="s">
        <v>2</v>
      </c>
      <c r="P34" s="13" t="s">
        <v>1</v>
      </c>
      <c r="Q34" s="13" t="s">
        <v>1</v>
      </c>
      <c r="R34" s="13" t="s">
        <v>0</v>
      </c>
      <c r="S34" s="30">
        <f t="array" ref="S34">ROUND(SUMPRODUCT(--(UPPER(TRIM(H34:R34))=UPPER(TRIM($H$1:$R$1))))*(10/11),2)</f>
        <v>8.18</v>
      </c>
      <c r="T34" s="31"/>
    </row>
    <row r="35" ht="15.75" customHeight="1">
      <c r="A35" s="10" t="s">
        <v>95</v>
      </c>
      <c r="B35" s="3"/>
      <c r="C35" s="3"/>
      <c r="D35" s="5"/>
      <c r="E35" s="13" t="s">
        <v>30</v>
      </c>
      <c r="F35" s="13" t="s">
        <v>30</v>
      </c>
      <c r="G35" s="13" t="s">
        <v>30</v>
      </c>
      <c r="H35" s="13" t="s">
        <v>30</v>
      </c>
      <c r="I35" s="13" t="s">
        <v>30</v>
      </c>
      <c r="J35" s="13" t="s">
        <v>30</v>
      </c>
      <c r="K35" s="13" t="s">
        <v>30</v>
      </c>
      <c r="L35" s="13" t="s">
        <v>30</v>
      </c>
      <c r="M35" s="13" t="s">
        <v>30</v>
      </c>
      <c r="N35" s="13" t="s">
        <v>30</v>
      </c>
      <c r="O35" s="13" t="s">
        <v>30</v>
      </c>
      <c r="P35" s="13" t="s">
        <v>30</v>
      </c>
      <c r="Q35" s="13" t="s">
        <v>30</v>
      </c>
      <c r="R35" s="13" t="s">
        <v>30</v>
      </c>
      <c r="S35" s="30">
        <f t="array" ref="S35">ROUND(SUMPRODUCT(--(UPPER(TRIM(H35:R35))=UPPER(TRIM($H$1:$R$1))))*(10/11),2)</f>
        <v>0</v>
      </c>
      <c r="T35" s="45"/>
      <c r="U35" s="34" t="s">
        <v>125</v>
      </c>
    </row>
    <row r="36" ht="15.75" customHeight="1">
      <c r="A36" s="35" t="s">
        <v>98</v>
      </c>
      <c r="B36" s="3"/>
      <c r="C36" s="3"/>
      <c r="D36" s="5"/>
      <c r="E36" s="13" t="s">
        <v>27</v>
      </c>
      <c r="F36" s="13" t="s">
        <v>29</v>
      </c>
      <c r="G36" s="16" t="s">
        <v>28</v>
      </c>
      <c r="H36" s="13" t="s">
        <v>0</v>
      </c>
      <c r="I36" s="13" t="s">
        <v>0</v>
      </c>
      <c r="J36" s="16" t="s">
        <v>0</v>
      </c>
      <c r="K36" s="13" t="s">
        <v>1</v>
      </c>
      <c r="L36" s="16" t="s">
        <v>1</v>
      </c>
      <c r="M36" s="13" t="s">
        <v>2</v>
      </c>
      <c r="N36" s="16" t="s">
        <v>1</v>
      </c>
      <c r="O36" s="16" t="s">
        <v>2</v>
      </c>
      <c r="P36" s="13" t="s">
        <v>1</v>
      </c>
      <c r="Q36" s="13" t="s">
        <v>2</v>
      </c>
      <c r="R36" s="13" t="s">
        <v>32</v>
      </c>
      <c r="S36" s="30">
        <f t="array" ref="S36">ROUND(SUMPRODUCT(--(UPPER(TRIM(H36:R36))=UPPER(TRIM($H$1:$R$1))))*(10/11),2)</f>
        <v>7.27</v>
      </c>
      <c r="T36" s="31"/>
    </row>
    <row r="37" ht="15.75" customHeight="1">
      <c r="A37" s="10" t="s">
        <v>100</v>
      </c>
      <c r="B37" s="3"/>
      <c r="C37" s="3"/>
      <c r="D37" s="5"/>
      <c r="E37" s="13" t="s">
        <v>27</v>
      </c>
      <c r="F37" s="16" t="s">
        <v>27</v>
      </c>
      <c r="G37" s="13" t="s">
        <v>27</v>
      </c>
      <c r="H37" s="13" t="s">
        <v>0</v>
      </c>
      <c r="I37" s="13" t="s">
        <v>0</v>
      </c>
      <c r="J37" s="13" t="s">
        <v>1</v>
      </c>
      <c r="K37" s="16" t="s">
        <v>1</v>
      </c>
      <c r="L37" s="13" t="s">
        <v>1</v>
      </c>
      <c r="M37" s="13" t="s">
        <v>1</v>
      </c>
      <c r="N37" s="13" t="s">
        <v>1</v>
      </c>
      <c r="O37" s="16" t="s">
        <v>2</v>
      </c>
      <c r="P37" s="16" t="s">
        <v>124</v>
      </c>
      <c r="Q37" s="13" t="s">
        <v>1</v>
      </c>
      <c r="R37" s="13" t="s">
        <v>1</v>
      </c>
      <c r="S37" s="30">
        <f t="array" ref="S37">ROUND(SUMPRODUCT(--(UPPER(TRIM(H37:R37))=UPPER(TRIM($H$1:$R$1))))*(10/11),2)</f>
        <v>7.27</v>
      </c>
      <c r="T37" s="31"/>
    </row>
    <row r="38" ht="15.75" customHeight="1">
      <c r="A38" s="35" t="s">
        <v>102</v>
      </c>
      <c r="B38" s="3"/>
      <c r="C38" s="3"/>
      <c r="D38" s="5"/>
      <c r="E38" s="13" t="s">
        <v>27</v>
      </c>
      <c r="F38" s="13" t="s">
        <v>29</v>
      </c>
      <c r="G38" s="16" t="s">
        <v>27</v>
      </c>
      <c r="H38" s="13" t="s">
        <v>0</v>
      </c>
      <c r="I38" s="13" t="s">
        <v>1</v>
      </c>
      <c r="J38" s="16" t="s">
        <v>0</v>
      </c>
      <c r="K38" s="16" t="s">
        <v>1</v>
      </c>
      <c r="L38" s="16" t="s">
        <v>1</v>
      </c>
      <c r="M38" s="13" t="s">
        <v>30</v>
      </c>
      <c r="N38" s="13" t="s">
        <v>1</v>
      </c>
      <c r="O38" s="13" t="s">
        <v>2</v>
      </c>
      <c r="P38" s="13" t="s">
        <v>1</v>
      </c>
      <c r="Q38" s="13" t="s">
        <v>32</v>
      </c>
      <c r="R38" s="13" t="s">
        <v>2</v>
      </c>
      <c r="S38" s="30">
        <f t="array" ref="S38">ROUND(SUMPRODUCT(--(UPPER(TRIM(H38:R38))=UPPER(TRIM($H$1:$R$1))))*(10/11),2)</f>
        <v>6.36</v>
      </c>
      <c r="T38" s="31"/>
    </row>
    <row r="39" ht="15.75" customHeight="1">
      <c r="A39" s="10" t="s">
        <v>104</v>
      </c>
      <c r="B39" s="3"/>
      <c r="C39" s="3"/>
      <c r="D39" s="5"/>
      <c r="E39" s="13" t="s">
        <v>28</v>
      </c>
      <c r="F39" s="13" t="s">
        <v>29</v>
      </c>
      <c r="G39" s="16" t="s">
        <v>27</v>
      </c>
      <c r="H39" s="13" t="s">
        <v>0</v>
      </c>
      <c r="I39" s="13" t="s">
        <v>0</v>
      </c>
      <c r="J39" s="16" t="s">
        <v>0</v>
      </c>
      <c r="K39" s="13" t="s">
        <v>2</v>
      </c>
      <c r="L39" s="13" t="s">
        <v>1</v>
      </c>
      <c r="M39" s="16" t="s">
        <v>1</v>
      </c>
      <c r="N39" s="16" t="s">
        <v>1</v>
      </c>
      <c r="O39" s="16" t="s">
        <v>2</v>
      </c>
      <c r="P39" s="13" t="s">
        <v>1</v>
      </c>
      <c r="Q39" s="13" t="s">
        <v>2</v>
      </c>
      <c r="R39" s="16" t="s">
        <v>0</v>
      </c>
      <c r="S39" s="30">
        <f t="array" ref="S39">ROUND(SUMPRODUCT(--(UPPER(TRIM(H39:R39))=UPPER(TRIM($H$1:$R$1))))*(10/11),2)</f>
        <v>8.18</v>
      </c>
      <c r="T39" s="31"/>
    </row>
    <row r="40" ht="15.75" customHeight="1">
      <c r="A40" s="35" t="s">
        <v>106</v>
      </c>
      <c r="B40" s="3"/>
      <c r="C40" s="3"/>
      <c r="D40" s="5"/>
      <c r="E40" s="13" t="s">
        <v>27</v>
      </c>
      <c r="F40" s="13" t="s">
        <v>27</v>
      </c>
      <c r="G40" s="13" t="s">
        <v>27</v>
      </c>
      <c r="H40" s="36" t="s">
        <v>0</v>
      </c>
      <c r="I40" s="36" t="s">
        <v>0</v>
      </c>
      <c r="J40" s="36" t="s">
        <v>0</v>
      </c>
      <c r="K40" s="36" t="s">
        <v>1</v>
      </c>
      <c r="L40" s="36" t="s">
        <v>1</v>
      </c>
      <c r="M40" s="36" t="s">
        <v>1</v>
      </c>
      <c r="N40" s="36" t="s">
        <v>1</v>
      </c>
      <c r="O40" s="36" t="s">
        <v>2</v>
      </c>
      <c r="P40" s="36" t="s">
        <v>1</v>
      </c>
      <c r="Q40" s="36" t="s">
        <v>1</v>
      </c>
      <c r="R40" s="36" t="s">
        <v>0</v>
      </c>
      <c r="S40" s="30">
        <f t="array" ref="S40">ROUND(SUMPRODUCT(--(UPPER(TRIM(H40:R40))=UPPER(TRIM($H$1:$R$1))))*(10/11),2)</f>
        <v>10</v>
      </c>
      <c r="T40" s="31"/>
    </row>
    <row r="41" ht="15.75" customHeight="1">
      <c r="A41" s="10" t="s">
        <v>108</v>
      </c>
      <c r="B41" s="3"/>
      <c r="C41" s="3"/>
      <c r="D41" s="5"/>
      <c r="E41" s="13" t="s">
        <v>30</v>
      </c>
      <c r="F41" s="13" t="s">
        <v>30</v>
      </c>
      <c r="G41" s="13" t="s">
        <v>30</v>
      </c>
      <c r="H41" s="43" t="s">
        <v>30</v>
      </c>
      <c r="I41" s="43" t="s">
        <v>30</v>
      </c>
      <c r="J41" s="43" t="s">
        <v>30</v>
      </c>
      <c r="K41" s="43" t="s">
        <v>30</v>
      </c>
      <c r="L41" s="43" t="s">
        <v>30</v>
      </c>
      <c r="M41" s="43" t="s">
        <v>30</v>
      </c>
      <c r="N41" s="43" t="s">
        <v>30</v>
      </c>
      <c r="O41" s="43" t="s">
        <v>30</v>
      </c>
      <c r="P41" s="43" t="s">
        <v>30</v>
      </c>
      <c r="Q41" s="43" t="s">
        <v>30</v>
      </c>
      <c r="R41" s="43" t="s">
        <v>30</v>
      </c>
      <c r="S41" s="30">
        <f t="array" ref="S41">ROUND(SUMPRODUCT(--(UPPER(TRIM(H41:R41))=UPPER(TRIM($H$1:$R$1))))*(10/11),2)</f>
        <v>0</v>
      </c>
    </row>
    <row r="42" ht="15.75" customHeight="1">
      <c r="A42" s="35" t="s">
        <v>110</v>
      </c>
      <c r="B42" s="3"/>
      <c r="C42" s="3"/>
      <c r="D42" s="5"/>
      <c r="E42" s="13" t="s">
        <v>30</v>
      </c>
      <c r="F42" s="13" t="s">
        <v>30</v>
      </c>
      <c r="G42" s="13" t="s">
        <v>30</v>
      </c>
      <c r="H42" s="43" t="s">
        <v>30</v>
      </c>
      <c r="I42" s="43" t="s">
        <v>30</v>
      </c>
      <c r="J42" s="43" t="s">
        <v>30</v>
      </c>
      <c r="K42" s="43" t="s">
        <v>30</v>
      </c>
      <c r="L42" s="43" t="s">
        <v>30</v>
      </c>
      <c r="M42" s="43" t="s">
        <v>30</v>
      </c>
      <c r="N42" s="43" t="s">
        <v>30</v>
      </c>
      <c r="O42" s="43" t="s">
        <v>30</v>
      </c>
      <c r="P42" s="43" t="s">
        <v>30</v>
      </c>
      <c r="Q42" s="43" t="s">
        <v>30</v>
      </c>
      <c r="R42" s="43" t="s">
        <v>30</v>
      </c>
      <c r="S42" s="30">
        <f t="array" ref="S42">ROUND(SUMPRODUCT(--(UPPER(TRIM(H42:R42))=UPPER(TRIM($H$1:$R$1))))*(10/11),2)</f>
        <v>0</v>
      </c>
    </row>
    <row r="43" ht="15.75" customHeight="1">
      <c r="A43" s="10" t="s">
        <v>113</v>
      </c>
      <c r="B43" s="3"/>
      <c r="C43" s="3"/>
      <c r="D43" s="5"/>
      <c r="E43" s="13" t="s">
        <v>30</v>
      </c>
      <c r="F43" s="13" t="s">
        <v>30</v>
      </c>
      <c r="G43" s="13" t="s">
        <v>30</v>
      </c>
      <c r="H43" s="13" t="s">
        <v>30</v>
      </c>
      <c r="I43" s="13" t="s">
        <v>30</v>
      </c>
      <c r="J43" s="13" t="s">
        <v>30</v>
      </c>
      <c r="K43" s="13" t="s">
        <v>30</v>
      </c>
      <c r="L43" s="13" t="s">
        <v>30</v>
      </c>
      <c r="M43" s="13" t="s">
        <v>30</v>
      </c>
      <c r="N43" s="13" t="s">
        <v>30</v>
      </c>
      <c r="O43" s="13" t="s">
        <v>30</v>
      </c>
      <c r="P43" s="13" t="s">
        <v>30</v>
      </c>
      <c r="Q43" s="13" t="s">
        <v>30</v>
      </c>
      <c r="R43" s="13" t="s">
        <v>30</v>
      </c>
      <c r="S43" s="30">
        <f t="array" ref="S43">ROUND(SUMPRODUCT(--(UPPER(TRIM(H43:R43))=UPPER(TRIM($H$1:$R$1))))*(10/11),2)</f>
        <v>0</v>
      </c>
    </row>
    <row r="44" ht="15.75" customHeight="1">
      <c r="A44" s="35" t="s">
        <v>115</v>
      </c>
      <c r="B44" s="3"/>
      <c r="C44" s="3"/>
      <c r="D44" s="5"/>
      <c r="E44" s="16" t="s">
        <v>28</v>
      </c>
      <c r="F44" s="13" t="s">
        <v>28</v>
      </c>
      <c r="G44" s="16" t="s">
        <v>28</v>
      </c>
      <c r="H44" s="13" t="s">
        <v>0</v>
      </c>
      <c r="I44" s="13" t="s">
        <v>1</v>
      </c>
      <c r="J44" s="16" t="s">
        <v>0</v>
      </c>
      <c r="K44" s="16" t="s">
        <v>2</v>
      </c>
      <c r="L44" s="13" t="s">
        <v>2</v>
      </c>
      <c r="M44" s="13" t="s">
        <v>32</v>
      </c>
      <c r="N44" s="16" t="s">
        <v>1</v>
      </c>
      <c r="O44" s="13" t="s">
        <v>30</v>
      </c>
      <c r="P44" s="13" t="s">
        <v>1</v>
      </c>
      <c r="Q44" s="13" t="s">
        <v>1</v>
      </c>
      <c r="R44" s="16" t="s">
        <v>1</v>
      </c>
      <c r="S44" s="30">
        <f t="array" ref="S44">ROUND(SUMPRODUCT(--(UPPER(TRIM(H44:R44))=UPPER(TRIM($H$1:$R$1))))*(10/11),2)</f>
        <v>4.55</v>
      </c>
      <c r="T44" s="31"/>
    </row>
    <row r="45" ht="15.75" customHeight="1">
      <c r="A45" s="10" t="s">
        <v>117</v>
      </c>
      <c r="B45" s="3"/>
      <c r="C45" s="3"/>
      <c r="D45" s="5"/>
      <c r="E45" s="13" t="s">
        <v>26</v>
      </c>
      <c r="F45" s="13" t="s">
        <v>26</v>
      </c>
      <c r="G45" s="13" t="s">
        <v>28</v>
      </c>
      <c r="H45" s="36" t="s">
        <v>0</v>
      </c>
      <c r="I45" s="36" t="s">
        <v>0</v>
      </c>
      <c r="J45" s="36" t="s">
        <v>0</v>
      </c>
      <c r="K45" s="36" t="s">
        <v>1</v>
      </c>
      <c r="L45" s="36" t="s">
        <v>1</v>
      </c>
      <c r="M45" s="46" t="s">
        <v>32</v>
      </c>
      <c r="N45" s="36" t="s">
        <v>30</v>
      </c>
      <c r="O45" s="36" t="s">
        <v>2</v>
      </c>
      <c r="P45" s="36" t="s">
        <v>1</v>
      </c>
      <c r="Q45" s="36" t="s">
        <v>1</v>
      </c>
      <c r="R45" s="36" t="s">
        <v>1</v>
      </c>
      <c r="S45" s="30">
        <f t="array" ref="S45">ROUND(SUMPRODUCT(--(UPPER(TRIM(H45:R45))=UPPER(TRIM($H$1:$R$1))))*(10/11),2)</f>
        <v>7.27</v>
      </c>
      <c r="T45" s="31"/>
    </row>
    <row r="46" ht="15.75" customHeight="1">
      <c r="A46" s="35" t="s">
        <v>119</v>
      </c>
      <c r="B46" s="3"/>
      <c r="C46" s="3"/>
      <c r="D46" s="5"/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30">
        <f t="array" ref="S46">ROUND(SUMPRODUCT(--(UPPER(TRIM(H46:R46))=UPPER(TRIM($H$1:$R$1))))*(10/11),2)</f>
        <v>0</v>
      </c>
    </row>
    <row r="47" ht="15.75" customHeight="1">
      <c r="S47" s="47" t="s">
        <v>126</v>
      </c>
    </row>
    <row r="48" ht="15.75" customHeight="1">
      <c r="S48" s="48">
        <f>ROUND(AVERAGEIF(S5:S46, "&gt;0"), 2)</f>
        <v>6.53</v>
      </c>
    </row>
    <row r="49" ht="15.75" customHeight="1">
      <c r="B49" s="3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4">
    <mergeCell ref="H3:R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30:D30"/>
    <mergeCell ref="A31:D31"/>
    <mergeCell ref="A29:D29"/>
    <mergeCell ref="A40:D40"/>
    <mergeCell ref="A41:D41"/>
    <mergeCell ref="A42:D42"/>
    <mergeCell ref="A43:D43"/>
    <mergeCell ref="A44:D44"/>
    <mergeCell ref="A45:D45"/>
    <mergeCell ref="A46:D46"/>
    <mergeCell ref="A32:D32"/>
    <mergeCell ref="A33:D33"/>
    <mergeCell ref="A35:D35"/>
    <mergeCell ref="A36:D36"/>
    <mergeCell ref="A37:D37"/>
    <mergeCell ref="A38:D38"/>
    <mergeCell ref="A39:D39"/>
    <mergeCell ref="A34:D34"/>
  </mergeCells>
  <conditionalFormatting sqref="H5:I46">
    <cfRule type="expression" dxfId="0" priority="1">
      <formula>OR(H5="A",H5="B",H5="D",H5="E")</formula>
    </cfRule>
  </conditionalFormatting>
  <conditionalFormatting sqref="H5:I46">
    <cfRule type="expression" dxfId="1" priority="2">
      <formula>H5="C"</formula>
    </cfRule>
  </conditionalFormatting>
  <conditionalFormatting sqref="J5:J46">
    <cfRule type="expression" dxfId="0" priority="3">
      <formula>OR(J5="A",J5="B")</formula>
    </cfRule>
  </conditionalFormatting>
  <conditionalFormatting sqref="J5:J46">
    <cfRule type="expression" dxfId="1" priority="4">
      <formula>J5="C"</formula>
    </cfRule>
  </conditionalFormatting>
  <conditionalFormatting sqref="K5:N46">
    <cfRule type="expression" dxfId="0" priority="5">
      <formula>OR(K5="A",K5="C")</formula>
    </cfRule>
  </conditionalFormatting>
  <conditionalFormatting sqref="K5:N46">
    <cfRule type="expression" dxfId="1" priority="6">
      <formula>K5="B"</formula>
    </cfRule>
  </conditionalFormatting>
  <conditionalFormatting sqref="O5:O46">
    <cfRule type="expression" dxfId="0" priority="7">
      <formula>OR(O5="B",O5="C")</formula>
    </cfRule>
  </conditionalFormatting>
  <conditionalFormatting sqref="O5:O46">
    <cfRule type="expression" dxfId="1" priority="8">
      <formula>O5="A"</formula>
    </cfRule>
  </conditionalFormatting>
  <conditionalFormatting sqref="P5:P46">
    <cfRule type="expression" dxfId="0" priority="9">
      <formula>P5="M"</formula>
    </cfRule>
  </conditionalFormatting>
  <conditionalFormatting sqref="P5:P46">
    <cfRule type="expression" dxfId="1" priority="10">
      <formula>P5="B"</formula>
    </cfRule>
  </conditionalFormatting>
  <conditionalFormatting sqref="Q5:Q46">
    <cfRule type="expression" dxfId="0" priority="11">
      <formula>OR(Q5="A",Q5="C",Q5="D")</formula>
    </cfRule>
  </conditionalFormatting>
  <conditionalFormatting sqref="Q5:Q46">
    <cfRule type="expression" dxfId="1" priority="12">
      <formula>Q5="B"</formula>
    </cfRule>
  </conditionalFormatting>
  <conditionalFormatting sqref="R5:R46">
    <cfRule type="expression" dxfId="0" priority="13">
      <formula>OR(R5="A",R5="B",R5="D",R5="E")</formula>
    </cfRule>
  </conditionalFormatting>
  <conditionalFormatting sqref="R5:R46">
    <cfRule type="expression" dxfId="1" priority="14">
      <formula>R5="C"</formula>
    </cfRule>
  </conditionalFormatting>
  <printOptions/>
  <pageMargins bottom="0.75" footer="0.0" header="0.0" left="0.7" right="0.7" top="0.75"/>
  <pageSetup orientation="portrait"/>
  <drawing r:id="rId1"/>
</worksheet>
</file>